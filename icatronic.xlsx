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 1" sheetId="1" r:id="rId5"/>
    <sheet state="visible" name="marzo 2026" sheetId="2" r:id="rId6"/>
    <sheet state="visible" name="febrero 2026" sheetId="3" r:id="rId7"/>
    <sheet state="visible" name="ene2026" sheetId="4" r:id="rId8"/>
    <sheet state="visible" name="diciembre" sheetId="5" r:id="rId9"/>
    <sheet state="visible" name="noviembre" sheetId="6" r:id="rId10"/>
    <sheet state="visible" name="mayo" sheetId="7" r:id="rId11"/>
    <sheet state="visible" name="costos movil" sheetId="8" r:id="rId12"/>
    <sheet state="visible" name="costos local" sheetId="9" r:id="rId13"/>
    <sheet state="visible" name="costos leo" sheetId="10" r:id="rId14"/>
    <sheet state="visible" name="abril" sheetId="11" r:id="rId15"/>
    <sheet state="visible" name="marzo" sheetId="12" r:id="rId16"/>
    <sheet state="visible" name="febrero" sheetId="13" r:id="rId17"/>
  </sheets>
  <definedNames/>
  <calcPr/>
</workbook>
</file>

<file path=xl/sharedStrings.xml><?xml version="1.0" encoding="utf-8"?>
<sst xmlns="http://schemas.openxmlformats.org/spreadsheetml/2006/main" count="1710" uniqueCount="855">
  <si>
    <t>Nombre</t>
  </si>
  <si>
    <t>tipo de cliente</t>
  </si>
  <si>
    <t>Tipo de trabajo</t>
  </si>
  <si>
    <t>Problema por el que se presenta</t>
  </si>
  <si>
    <t>trabajo realizado</t>
  </si>
  <si>
    <t>vehiculo</t>
  </si>
  <si>
    <t>dominio</t>
  </si>
  <si>
    <t>Teléfono</t>
  </si>
  <si>
    <t>Notas</t>
  </si>
  <si>
    <t>Fecha de ingreso</t>
  </si>
  <si>
    <t>Fecha de egreso</t>
  </si>
  <si>
    <t>valor del trabajo</t>
  </si>
  <si>
    <t>costo</t>
  </si>
  <si>
    <t>total venta</t>
  </si>
  <si>
    <t>total costo</t>
  </si>
  <si>
    <t>rendimiento</t>
  </si>
  <si>
    <t>seba</t>
  </si>
  <si>
    <t>tallerista</t>
  </si>
  <si>
    <t>cerrajeria</t>
  </si>
  <si>
    <t>perdida del chip del telemando</t>
  </si>
  <si>
    <t>chip de telemando nuevo y programacion</t>
  </si>
  <si>
    <t>chevrolet meriva</t>
  </si>
  <si>
    <t>se utilizaron 2 superchip</t>
  </si>
  <si>
    <t>fran cantarelo</t>
  </si>
  <si>
    <t>amigo</t>
  </si>
  <si>
    <t>carcasas originales rotas</t>
  </si>
  <si>
    <t>copia de telemando modelo nuevo</t>
  </si>
  <si>
    <t>peugeot 408</t>
  </si>
  <si>
    <t>xhorse con pcf</t>
  </si>
  <si>
    <t>mauro</t>
  </si>
  <si>
    <t>tiene llave sin telemando</t>
  </si>
  <si>
    <t>copia de llave  modelo alternativo</t>
  </si>
  <si>
    <t>chevrolet s10 2016</t>
  </si>
  <si>
    <t>mirna</t>
  </si>
  <si>
    <t>conocido</t>
  </si>
  <si>
    <t>1 sola llave</t>
  </si>
  <si>
    <t xml:space="preserve">copia de llave </t>
  </si>
  <si>
    <t xml:space="preserve">ford fiesta max </t>
  </si>
  <si>
    <t>xhorse con superchip</t>
  </si>
  <si>
    <t>ruben</t>
  </si>
  <si>
    <t>recomendado</t>
  </si>
  <si>
    <t xml:space="preserve">diagnostico </t>
  </si>
  <si>
    <t>el auto no acelera, la mariposa no acciona</t>
  </si>
  <si>
    <t>reparacion de cableado por falta de alimentaciones en la ecu</t>
  </si>
  <si>
    <t>chevrolet corsa 1.4</t>
  </si>
  <si>
    <t>quedo pendiente cambiar sensor map</t>
  </si>
  <si>
    <t>abel yurkina</t>
  </si>
  <si>
    <t>copia de llave navaja</t>
  </si>
  <si>
    <t>llave navaja sin telemando</t>
  </si>
  <si>
    <t>suran 2018</t>
  </si>
  <si>
    <t>no se pudo leer pincode por obd</t>
  </si>
  <si>
    <t>hernan</t>
  </si>
  <si>
    <t>extraccion pincode antena UN</t>
  </si>
  <si>
    <t>VECTRA 2.4</t>
  </si>
  <si>
    <t>no se pudo programar telemando vvdi</t>
  </si>
  <si>
    <t>JAVIER VALOR</t>
  </si>
  <si>
    <t>CLIENTE FB</t>
  </si>
  <si>
    <t>LLAVE SIN CHIP</t>
  </si>
  <si>
    <t>colocacion de chip en llave nueva</t>
  </si>
  <si>
    <t>astra</t>
  </si>
  <si>
    <t>se armo llave comun para ignicion con distinta combinacion a la de puerta</t>
  </si>
  <si>
    <t xml:space="preserve">FARID </t>
  </si>
  <si>
    <t>AMIGO</t>
  </si>
  <si>
    <t>copia de llave</t>
  </si>
  <si>
    <t>copia de llave portachip</t>
  </si>
  <si>
    <t>peugeot 207</t>
  </si>
  <si>
    <t>dionisio tomatis</t>
  </si>
  <si>
    <t>cliente ig</t>
  </si>
  <si>
    <t>electronica</t>
  </si>
  <si>
    <t>falla marcador de combustible</t>
  </si>
  <si>
    <t xml:space="preserve">reparacion de cableado bajo el tanque </t>
  </si>
  <si>
    <t>toyota hilux 2006</t>
  </si>
  <si>
    <t>se banqueo tablero y reparo cableado bajo cabina</t>
  </si>
  <si>
    <t>milena</t>
  </si>
  <si>
    <t>recomendacion</t>
  </si>
  <si>
    <t>falla aire acondicionado</t>
  </si>
  <si>
    <t>reparacion de cableado y presostato defectuoso</t>
  </si>
  <si>
    <t>ford fiesta one 2012</t>
  </si>
  <si>
    <t>el cliente compro presostato original y ficha, se reparo cableado, habia problema en la ficha de empalme multiple detras de la optica derecha</t>
  </si>
  <si>
    <t>JULIAN FARIAS</t>
  </si>
  <si>
    <t>IG</t>
  </si>
  <si>
    <t>CERRAJERIA</t>
  </si>
  <si>
    <t>CARCASA  TELEMANDO ROTA</t>
  </si>
  <si>
    <t>CAMBIO CARCASA Y PILA. SIN TALLADO</t>
  </si>
  <si>
    <t>CORA</t>
  </si>
  <si>
    <t>RECOMENDADO LOBOS</t>
  </si>
  <si>
    <t>LLAVES PERDIDAS</t>
  </si>
  <si>
    <t>SAQUE TAMBOR PUERTA Y TALLADO DE LLAVE EN MORENO</t>
  </si>
  <si>
    <t>HONDA CIVIC 2007</t>
  </si>
  <si>
    <t>cobrado</t>
  </si>
  <si>
    <t>METODO PAGO</t>
  </si>
  <si>
    <t>GASTOS MES- TIPO</t>
  </si>
  <si>
    <t>DETALLE</t>
  </si>
  <si>
    <t>MONTO</t>
  </si>
  <si>
    <t>TOTAL</t>
  </si>
  <si>
    <t>mariano</t>
  </si>
  <si>
    <t>taller</t>
  </si>
  <si>
    <t>gol 1,6 2009</t>
  </si>
  <si>
    <t>no arranca</t>
  </si>
  <si>
    <t>programacion transponder desde cajetin</t>
  </si>
  <si>
    <t>si</t>
  </si>
  <si>
    <t>VIRTUAL</t>
  </si>
  <si>
    <t>GUSTO</t>
  </si>
  <si>
    <t>ALMUERZO ABUELA</t>
  </si>
  <si>
    <t>miguel angel</t>
  </si>
  <si>
    <t>final</t>
  </si>
  <si>
    <t>diagnostico</t>
  </si>
  <si>
    <t>p206 2003</t>
  </si>
  <si>
    <t>no anda velocimetro ni tacometro</t>
  </si>
  <si>
    <t>reparacion motores tablero</t>
  </si>
  <si>
    <t>PERSONAL</t>
  </si>
  <si>
    <t>NAFTA VENTO</t>
  </si>
  <si>
    <t>paulo cortez</t>
  </si>
  <si>
    <t>focus 2017gdi</t>
  </si>
  <si>
    <t>falla</t>
  </si>
  <si>
    <t xml:space="preserve">diagnostico y reseteo ecu falla sonda </t>
  </si>
  <si>
    <t>queda pendiente cambiar sonda</t>
  </si>
  <si>
    <t>ICATRONIC</t>
  </si>
  <si>
    <t>GASOIL PARTNER</t>
  </si>
  <si>
    <t>p308 2012</t>
  </si>
  <si>
    <t>arranca y falla y se apaga</t>
  </si>
  <si>
    <t>baja presion de nafta solo diagno</t>
  </si>
  <si>
    <t>CASA</t>
  </si>
  <si>
    <t>ALQUILER</t>
  </si>
  <si>
    <t>santiago beron</t>
  </si>
  <si>
    <t>corsa 1,6</t>
  </si>
  <si>
    <t>ficha bobina cambiar</t>
  </si>
  <si>
    <t>EFECTIVO</t>
  </si>
  <si>
    <t>CARGA GAS</t>
  </si>
  <si>
    <t>wolves</t>
  </si>
  <si>
    <t>agencia</t>
  </si>
  <si>
    <t>partner 2010</t>
  </si>
  <si>
    <t>reprogramacion dellave y copia de llave comun</t>
  </si>
  <si>
    <t>debo hacer la copia de llave</t>
  </si>
  <si>
    <t>piston</t>
  </si>
  <si>
    <t>cuesta arrancar por la mañana</t>
  </si>
  <si>
    <t>se probo ecu y anda bien, se hizo diagnostico y anda bien</t>
  </si>
  <si>
    <t>ROTI</t>
  </si>
  <si>
    <t>sebastian mp deportes</t>
  </si>
  <si>
    <t>partner 1,6 hdi</t>
  </si>
  <si>
    <t>se limita p1199</t>
  </si>
  <si>
    <t>no se encontro la falla</t>
  </si>
  <si>
    <t xml:space="preserve">solo se cobro combustible y sensores y el trasnfirio +50k extra </t>
  </si>
  <si>
    <t>COMPRA SUPER</t>
  </si>
  <si>
    <t>pedro brunoldi</t>
  </si>
  <si>
    <t>vento 2,5 2016</t>
  </si>
  <si>
    <t>check encendido</t>
  </si>
  <si>
    <t>limpieza cuerpo y control de bujias</t>
  </si>
  <si>
    <t>se recomienda cambiar bujias urgente</t>
  </si>
  <si>
    <t>CUENTAS</t>
  </si>
  <si>
    <t>SEGURO AUTO</t>
  </si>
  <si>
    <t>amigo aguila</t>
  </si>
  <si>
    <t xml:space="preserve">hilux 3,0 </t>
  </si>
  <si>
    <t>copia llave comun</t>
  </si>
  <si>
    <t>TARJETA BNA Y PRESTAMO</t>
  </si>
  <si>
    <t>jose mangieri</t>
  </si>
  <si>
    <t>ranger 2018</t>
  </si>
  <si>
    <t>pin doblado en fusiblera motor faltaba alimentacion</t>
  </si>
  <si>
    <t>milanesas</t>
  </si>
  <si>
    <t>jeep renegade</t>
  </si>
  <si>
    <t>cambio carcasa</t>
  </si>
  <si>
    <t>no</t>
  </si>
  <si>
    <t>alimento perras</t>
  </si>
  <si>
    <t>sergio</t>
  </si>
  <si>
    <t>cruze</t>
  </si>
  <si>
    <t>cuesta arrancar</t>
  </si>
  <si>
    <t>rpm desconectado y fuera de punto + reparacion cableado</t>
  </si>
  <si>
    <t>bizcochos</t>
  </si>
  <si>
    <t>fernando martinez</t>
  </si>
  <si>
    <t>bora 2.0 2012</t>
  </si>
  <si>
    <t>falla en alta</t>
  </si>
  <si>
    <t>diagnostico falla cil 1 bobina</t>
  </si>
  <si>
    <t>GNC</t>
  </si>
  <si>
    <t>leo ibañez</t>
  </si>
  <si>
    <t>vento 2011</t>
  </si>
  <si>
    <t>luz check</t>
  </si>
  <si>
    <t>solo escaneo fallas cuerpo mariposa</t>
  </si>
  <si>
    <t>pago tarjets bbva</t>
  </si>
  <si>
    <t>faru</t>
  </si>
  <si>
    <t>copia llave</t>
  </si>
  <si>
    <t>alimento perris</t>
  </si>
  <si>
    <t>jose casco</t>
  </si>
  <si>
    <t>sangyong musso</t>
  </si>
  <si>
    <t>no para</t>
  </si>
  <si>
    <t>manguera vacio rota</t>
  </si>
  <si>
    <t>copia de llave ademas</t>
  </si>
  <si>
    <t>ficha para bobina corsa</t>
  </si>
  <si>
    <t>loco corsa</t>
  </si>
  <si>
    <t>corsa 2011</t>
  </si>
  <si>
    <t>falla tablero se apaga</t>
  </si>
  <si>
    <t>falso contacto, limpieza cuerpo mariposa</t>
  </si>
  <si>
    <t>carniceria</t>
  </si>
  <si>
    <t>martincho</t>
  </si>
  <si>
    <t>bora 2012</t>
  </si>
  <si>
    <t>escaneo por luz airbag</t>
  </si>
  <si>
    <t>se borro la falla solamente</t>
  </si>
  <si>
    <t>verduleria</t>
  </si>
  <si>
    <t>fiat toro 2018</t>
  </si>
  <si>
    <t>caja at bloqueada</t>
  </si>
  <si>
    <t>se hizo alineacion proxy y desbloqueo sola</t>
  </si>
  <si>
    <t>sergio topar</t>
  </si>
  <si>
    <t>bora 2008</t>
  </si>
  <si>
    <t>agua</t>
  </si>
  <si>
    <t>nacho fox</t>
  </si>
  <si>
    <t>bora 2005</t>
  </si>
  <si>
    <t>se traba llave en el cilindro</t>
  </si>
  <si>
    <t>copia de llave comun + tallado espadin para navaja</t>
  </si>
  <si>
    <t>compras</t>
  </si>
  <si>
    <t>pedro saroff</t>
  </si>
  <si>
    <t>chevrolet s10</t>
  </si>
  <si>
    <t>fusible quemado de ecu</t>
  </si>
  <si>
    <t>superchips xt27</t>
  </si>
  <si>
    <t>compra super</t>
  </si>
  <si>
    <t>CREDITO TARJ</t>
  </si>
  <si>
    <t>superchips y llave toyota xn</t>
  </si>
  <si>
    <t>verduleris</t>
  </si>
  <si>
    <t>polleria</t>
  </si>
  <si>
    <t>negocio</t>
  </si>
  <si>
    <t>pintureria</t>
  </si>
  <si>
    <t>edgardo aguila</t>
  </si>
  <si>
    <t>gol trend 2020</t>
  </si>
  <si>
    <t>arranca fallando a la mañana</t>
  </si>
  <si>
    <t>diagnostico junta de tapa soplada</t>
  </si>
  <si>
    <t>cecilia ines garcia</t>
  </si>
  <si>
    <t>fiat uno way 2015</t>
  </si>
  <si>
    <t>arranca pero no acelera</t>
  </si>
  <si>
    <t>cambio cuerpo mariposa, cambio engranaje de cigueñal por chaveta barrida y desfasaje puesta a punto</t>
  </si>
  <si>
    <t>andrea c4</t>
  </si>
  <si>
    <t>c4 2,0 hdi</t>
  </si>
  <si>
    <t>a veces no arranca,</t>
  </si>
  <si>
    <t>falla intermitente en red can, se puso una ecu desbloqueada para probar si vuelve a fallar</t>
  </si>
  <si>
    <t>se puso ecu mia edc15c2</t>
  </si>
  <si>
    <t>se cambio lampara giro trasero derecho</t>
  </si>
  <si>
    <t xml:space="preserve">marcelo rotiseria </t>
  </si>
  <si>
    <t>peugeot 408 thp 2013</t>
  </si>
  <si>
    <t>se pone en emergencia</t>
  </si>
  <si>
    <t>falla cuerpo mariposa por exceso de consumo y baja presion de nafta en alta</t>
  </si>
  <si>
    <t xml:space="preserve">quedo pendiente de averiguar por repuestos </t>
  </si>
  <si>
    <t>daniel russo</t>
  </si>
  <si>
    <t>amarok 2012</t>
  </si>
  <si>
    <t>no anda velocimetro</t>
  </si>
  <si>
    <t>cambio 4 sensores+reparacion cableado 4 ruedas</t>
  </si>
  <si>
    <t>quedo pendiente rueda delantera izq, por falla bolillero</t>
  </si>
  <si>
    <t>raul city</t>
  </si>
  <si>
    <t>honda citi 2014</t>
  </si>
  <si>
    <t>fallo sonda lamba alternativa, se volvio a poner la original que si anda y se recomienda cambiarla</t>
  </si>
  <si>
    <t>martin mecanico mang</t>
  </si>
  <si>
    <t>vw gol</t>
  </si>
  <si>
    <t>no enfria aire</t>
  </si>
  <si>
    <t>carga gas media lata</t>
  </si>
  <si>
    <t>cachito minimercado baltazar</t>
  </si>
  <si>
    <t>berlingo 2007</t>
  </si>
  <si>
    <t>todas las llaves perdidas</t>
  </si>
  <si>
    <t>2 llaves desde el tambor de arranque, puertas con diferente combinacion, cambio valvula v¿bomba inyectora</t>
  </si>
  <si>
    <t>vw gol 1,4 2011</t>
  </si>
  <si>
    <t>cambio bomba de nafta</t>
  </si>
  <si>
    <t>juan di tata</t>
  </si>
  <si>
    <t>prisma 2017</t>
  </si>
  <si>
    <t>llave no anda</t>
  </si>
  <si>
    <t>copia de llave telemando</t>
  </si>
  <si>
    <t>mariano ferzzola</t>
  </si>
  <si>
    <t>peugeot 207 2014</t>
  </si>
  <si>
    <t>no anda aire acond</t>
  </si>
  <si>
    <t>reparacion bsi rele estado solido</t>
  </si>
  <si>
    <t>ezequiel torres</t>
  </si>
  <si>
    <t>rep ecu</t>
  </si>
  <si>
    <t>megane 2008</t>
  </si>
  <si>
    <t>no anda uch</t>
  </si>
  <si>
    <t>reparacion placa mojada, cambio arrays y pistas</t>
  </si>
  <si>
    <t>martin olaizola</t>
  </si>
  <si>
    <t>no andan luces</t>
  </si>
  <si>
    <t>cambio palanca luces del com2000</t>
  </si>
  <si>
    <t>amelia torres</t>
  </si>
  <si>
    <t>ecosport 2008 tdci</t>
  </si>
  <si>
    <t>humea</t>
  </si>
  <si>
    <t>diagnostico falla sensor maf</t>
  </si>
  <si>
    <t>mariano astegiano</t>
  </si>
  <si>
    <t>berlingo 2018</t>
  </si>
  <si>
    <t>diagnostico falla sensor levas</t>
  </si>
  <si>
    <t>amarok 2019</t>
  </si>
  <si>
    <t>etios 2022</t>
  </si>
  <si>
    <t>luz check falla sonda y maf</t>
  </si>
  <si>
    <t>fusible 12 del tablero quemado</t>
  </si>
  <si>
    <t>martin suipacha</t>
  </si>
  <si>
    <t>ranger 2019</t>
  </si>
  <si>
    <t>problema luces varias</t>
  </si>
  <si>
    <t>cambio lamparas traseras,altas y reset u1000, y reparacion cableado sensores traseros abs</t>
  </si>
  <si>
    <t>ecosport tdci 2008</t>
  </si>
  <si>
    <t>cambio maf e instalacion picos de zorrino</t>
  </si>
  <si>
    <t xml:space="preserve">ariel </t>
  </si>
  <si>
    <t>suzuki fun 2010</t>
  </si>
  <si>
    <t>se apaga de repente</t>
  </si>
  <si>
    <t>cambio rele de bomba</t>
  </si>
  <si>
    <t>siena</t>
  </si>
  <si>
    <t>no marca bien nafta</t>
  </si>
  <si>
    <t>aguja movida</t>
  </si>
  <si>
    <t>alberto russo</t>
  </si>
  <si>
    <t>clio 1,2 2013</t>
  </si>
  <si>
    <t>cable de bomba salido en ficha al costado de la pedalera</t>
  </si>
  <si>
    <t>alfonso ibañez</t>
  </si>
  <si>
    <t>bora 2005 tdi</t>
  </si>
  <si>
    <t>queda acelerado</t>
  </si>
  <si>
    <t>cables sensor temperatura mal armados</t>
  </si>
  <si>
    <t xml:space="preserve">peugeot 208 </t>
  </si>
  <si>
    <t>luz airbag</t>
  </si>
  <si>
    <t>ficha floja</t>
  </si>
  <si>
    <t>peugeot 4087 thp 2014</t>
  </si>
  <si>
    <t>en emergencia</t>
  </si>
  <si>
    <t>cambio bomba de alta y cuerpo mariposa</t>
  </si>
  <si>
    <t>emiliano romero suegro lauti</t>
  </si>
  <si>
    <t>prende electro y acopla aire siempre</t>
  </si>
  <si>
    <t>cambio rele electro baja y reparacion placa aire</t>
  </si>
  <si>
    <t>peugeot 301</t>
  </si>
  <si>
    <t>tira la direccion</t>
  </si>
  <si>
    <t>escaneo angulo de direccion</t>
  </si>
  <si>
    <t>focus tdci 2006</t>
  </si>
  <si>
    <t>prueba ecu y diagnostico</t>
  </si>
  <si>
    <t>sergio corolla</t>
  </si>
  <si>
    <t>toyota corolla 2011</t>
  </si>
  <si>
    <t>no arranca a nafta</t>
  </si>
  <si>
    <t>cambio bomba nafta</t>
  </si>
  <si>
    <t>ariel idiart</t>
  </si>
  <si>
    <t>chevrolet aveo</t>
  </si>
  <si>
    <t>no acelera</t>
  </si>
  <si>
    <t>diagnostico cable tps cortado</t>
  </si>
  <si>
    <t>chevrolet onix</t>
  </si>
  <si>
    <t>no enciende electros</t>
  </si>
  <si>
    <t>diagnostico resistencia de baja cortada</t>
  </si>
  <si>
    <t>sebastian ferzzola racing</t>
  </si>
  <si>
    <t>vw amarok 2017</t>
  </si>
  <si>
    <t>luz dpf, y no acelera por falta de presion de turbo</t>
  </si>
  <si>
    <t>reset dpf+diagnostico fuga de vacio por tapa de valvulas</t>
  </si>
  <si>
    <t>la presion de vacio sin el deposito es 25 pulg de merc, y con el deposito no llegaba a 10pulg. el sensor se calibra con 14,5 pulg</t>
  </si>
  <si>
    <t xml:space="preserve">sebastian corsa2 </t>
  </si>
  <si>
    <t>chevrolet corsa2</t>
  </si>
  <si>
    <t>falla en 3 cilindros</t>
  </si>
  <si>
    <t>ficha inyector suelta, solo se cobra diagnostico</t>
  </si>
  <si>
    <t>se reviso pinera de ecu y todo ok.</t>
  </si>
  <si>
    <t>ranger nafta 2012 2.3</t>
  </si>
  <si>
    <t>diagnostico falta de compresion en cilindro 2 y 4</t>
  </si>
  <si>
    <t>solo se cobro el diagnostico basico</t>
  </si>
  <si>
    <t>gabriel manrique</t>
  </si>
  <si>
    <t>hilux 2017</t>
  </si>
  <si>
    <t>no anda telemando</t>
  </si>
  <si>
    <t>copia de llave telemando navaja</t>
  </si>
  <si>
    <t>el telemando original estaba sin pila no quiso arreglarlo</t>
  </si>
  <si>
    <t>gervasio</t>
  </si>
  <si>
    <t>peugeot 208 2018</t>
  </si>
  <si>
    <t>cuesta arrancar y a veces queda prendido electro</t>
  </si>
  <si>
    <t>cambio sensor de temperatura(se quedaba siempre en 100°)</t>
  </si>
  <si>
    <t>sergio topart</t>
  </si>
  <si>
    <t>fiat palio 2006</t>
  </si>
  <si>
    <t>ficha de fusiblera vano motor rota y falso contacto</t>
  </si>
  <si>
    <t>solo se ajusto la ficha que ya estaba rota la traba</t>
  </si>
  <si>
    <t>santiago marido pato</t>
  </si>
  <si>
    <t>ranger 2017</t>
  </si>
  <si>
    <t>consumo bateria</t>
  </si>
  <si>
    <t>modulo estereo consume 1a. no se reparo nada</t>
  </si>
  <si>
    <t>solo se le indica que fusible retirar</t>
  </si>
  <si>
    <t>corolla 2012</t>
  </si>
  <si>
    <t>copia telemando navaja</t>
  </si>
  <si>
    <t>telemando xk con botones invertidos</t>
  </si>
  <si>
    <t>tano</t>
  </si>
  <si>
    <t>vw gol 2005</t>
  </si>
  <si>
    <t>no arranca o arranca fallando</t>
  </si>
  <si>
    <t>sensor map, tapa y rotor malos</t>
  </si>
  <si>
    <t>el auto se trajo de tiro</t>
  </si>
  <si>
    <t>ford ka 2017</t>
  </si>
  <si>
    <t>acelera mal</t>
  </si>
  <si>
    <t>cuerpo mariposa defectuoso</t>
  </si>
  <si>
    <t>oscar renegade</t>
  </si>
  <si>
    <t>jeep renegade 2017</t>
  </si>
  <si>
    <t>vibracion de motor</t>
  </si>
  <si>
    <t>no presenta fallas- se recomienda cambio bujias</t>
  </si>
  <si>
    <t>emanuel alvarez</t>
  </si>
  <si>
    <t>vw gol trend 2018</t>
  </si>
  <si>
    <t>1 llave</t>
  </si>
  <si>
    <t>copia de llave simple</t>
  </si>
  <si>
    <t xml:space="preserve">ricardo </t>
  </si>
  <si>
    <t>honda fit 2008</t>
  </si>
  <si>
    <t>cambio sensor temp radiador</t>
  </si>
  <si>
    <t>peugeot 308 2012</t>
  </si>
  <si>
    <t>no anda bocina, luz airbag</t>
  </si>
  <si>
    <t xml:space="preserve">reparacion cable espiral </t>
  </si>
  <si>
    <t>reparacion no segura, se recomienda cambiar</t>
  </si>
  <si>
    <t>amarok y ranger</t>
  </si>
  <si>
    <t>falla abs y egr</t>
  </si>
  <si>
    <t>escaneo solo</t>
  </si>
  <si>
    <t>corolla 2009</t>
  </si>
  <si>
    <t>ajuste mariposa</t>
  </si>
  <si>
    <t>escaneo todo ok</t>
  </si>
  <si>
    <t>gushy</t>
  </si>
  <si>
    <t>onix 2015</t>
  </si>
  <si>
    <t>no anda electro 1era vel</t>
  </si>
  <si>
    <t xml:space="preserve">cambio resistencia </t>
  </si>
  <si>
    <t>regula desparejo</t>
  </si>
  <si>
    <t>limpieza cuerpo mariposa</t>
  </si>
  <si>
    <t>marcelo olaizola</t>
  </si>
  <si>
    <t>mercedes camion</t>
  </si>
  <si>
    <t>llave partida</t>
  </si>
  <si>
    <t>copia de llave con chip x2</t>
  </si>
  <si>
    <t>altamirano</t>
  </si>
  <si>
    <t>fiat uno way</t>
  </si>
  <si>
    <t>diagnostico distribucion corrida</t>
  </si>
  <si>
    <t>se lo llevo juan aragona para hacer distribucion</t>
  </si>
  <si>
    <t>mariano ferzola</t>
  </si>
  <si>
    <t>fiesta kinetic</t>
  </si>
  <si>
    <t>bujias en corto x4</t>
  </si>
  <si>
    <t>amarok v6 2025</t>
  </si>
  <si>
    <t>no anda marcador de combustible ni a/a</t>
  </si>
  <si>
    <t>reparacion de tablero + diagnostico</t>
  </si>
  <si>
    <t>480</t>
  </si>
  <si>
    <t>siena mpi</t>
  </si>
  <si>
    <t>no anda a/a</t>
  </si>
  <si>
    <t>carga, reparacion caño, cambio orrin y reparacion plaqueta interna</t>
  </si>
  <si>
    <t>anita</t>
  </si>
  <si>
    <t>c4 2.0 2009</t>
  </si>
  <si>
    <t>cambio resistencia caja celeste</t>
  </si>
  <si>
    <t>fabian fox</t>
  </si>
  <si>
    <t>bora 2011</t>
  </si>
  <si>
    <t>marcador combustible fallando</t>
  </si>
  <si>
    <t>se probo tablero y no consiguio sensor. quedo pendiende conseguir repuesto. reparacion bulbo stop</t>
  </si>
  <si>
    <t>rafa drink</t>
  </si>
  <si>
    <t>master 2005</t>
  </si>
  <si>
    <t>no arranca, testigo inmo fijo</t>
  </si>
  <si>
    <t>se saco bmt antena y llave, se recupero la antena y se volvio a colocar</t>
  </si>
  <si>
    <t xml:space="preserve">francisco </t>
  </si>
  <si>
    <t>berlingo 2016</t>
  </si>
  <si>
    <t>bocina y luz airbag</t>
  </si>
  <si>
    <t>cambio cinta, bulbo stop y lamparas varias</t>
  </si>
  <si>
    <t>resistencia forzador quemada, pendiente a cambiar</t>
  </si>
  <si>
    <t>tomatis dionisio padre</t>
  </si>
  <si>
    <t>s10 2015</t>
  </si>
  <si>
    <t>no andan luces bajas</t>
  </si>
  <si>
    <t xml:space="preserve">cambio bcm </t>
  </si>
  <si>
    <t>joaquin electri</t>
  </si>
  <si>
    <t>ecosport kinetic</t>
  </si>
  <si>
    <t>programacion de un tp y copia de llave comun</t>
  </si>
  <si>
    <t>joaquin perco</t>
  </si>
  <si>
    <t>chevrolet cruze</t>
  </si>
  <si>
    <t>falla climatizador</t>
  </si>
  <si>
    <t>diagnostico climati mojado</t>
  </si>
  <si>
    <t>queda pendiente de comprar modulo re reemplazo</t>
  </si>
  <si>
    <t>nancy garino</t>
  </si>
  <si>
    <t>fiat palio</t>
  </si>
  <si>
    <t>limpieza maraiposa + cambio 2da sonda</t>
  </si>
  <si>
    <t>maxi suipacha</t>
  </si>
  <si>
    <t>no regula</t>
  </si>
  <si>
    <t>cambio tps</t>
  </si>
  <si>
    <t>leo ceramica</t>
  </si>
  <si>
    <t>ford ka huevito</t>
  </si>
  <si>
    <t>copia llave tibbe</t>
  </si>
  <si>
    <t>juan carlos s10</t>
  </si>
  <si>
    <t>no anda radio</t>
  </si>
  <si>
    <t>estereo quemado</t>
  </si>
  <si>
    <t>elias corolla</t>
  </si>
  <si>
    <t>corolla 1995</t>
  </si>
  <si>
    <t>no anda marcador temp</t>
  </si>
  <si>
    <t>cambio sensor temperatura</t>
  </si>
  <si>
    <t>francisco garmendia</t>
  </si>
  <si>
    <t>vento tdi 2011</t>
  </si>
  <si>
    <t>no anda direccion electrica</t>
  </si>
  <si>
    <t xml:space="preserve">diagnostico unicamente </t>
  </si>
  <si>
    <t>hay que reemplazar cremallera pendiente 100mil programacion</t>
  </si>
  <si>
    <t>cruze 2019</t>
  </si>
  <si>
    <t>diagnostico previo</t>
  </si>
  <si>
    <t xml:space="preserve">cambio climatizador </t>
  </si>
  <si>
    <t>farid</t>
  </si>
  <si>
    <t>vw up</t>
  </si>
  <si>
    <t>c4 hdi 2009</t>
  </si>
  <si>
    <t>diagnostico ecu y cableado</t>
  </si>
  <si>
    <t>sensor presion de rampa en corto a masa, repara el taller</t>
  </si>
  <si>
    <t>electricista</t>
  </si>
  <si>
    <t>saveiro 2018</t>
  </si>
  <si>
    <t>cerrada con llaves puestas</t>
  </si>
  <si>
    <t>apertura</t>
  </si>
  <si>
    <t>siena 99</t>
  </si>
  <si>
    <t>ralenti inestable</t>
  </si>
  <si>
    <t>cableaddo tps</t>
  </si>
  <si>
    <t>palio 2003</t>
  </si>
  <si>
    <t>falla 3 cilindros</t>
  </si>
  <si>
    <t>cables bujias</t>
  </si>
  <si>
    <t>ezequiel exposito</t>
  </si>
  <si>
    <t>nissan frontier</t>
  </si>
  <si>
    <t>se apaga en ralenti</t>
  </si>
  <si>
    <t>sensor ckp sucio, se limpio y se cambio con cmp</t>
  </si>
  <si>
    <t>eduardo cirone</t>
  </si>
  <si>
    <t>c3 aircross</t>
  </si>
  <si>
    <t>no anda estereo ni pantalla navegador</t>
  </si>
  <si>
    <t>reinstalacon firmware</t>
  </si>
  <si>
    <t>joaquin electricista</t>
  </si>
  <si>
    <t>peugeot 208 2021</t>
  </si>
  <si>
    <t>prende check falla comunicacion</t>
  </si>
  <si>
    <t>solo apagado luz servicio</t>
  </si>
  <si>
    <t>fernando bmw</t>
  </si>
  <si>
    <t>bmw 318 tdi 99</t>
  </si>
  <si>
    <t>diagnostico cableado señal pedal a masa</t>
  </si>
  <si>
    <t>reparacion ecu</t>
  </si>
  <si>
    <t>juan pablo salcedo</t>
  </si>
  <si>
    <t>kangoo lv</t>
  </si>
  <si>
    <t>reparacion cableado falta de masa</t>
  </si>
  <si>
    <t>juan corolla</t>
  </si>
  <si>
    <t>copia llave navajja</t>
  </si>
  <si>
    <t>fiesta kd</t>
  </si>
  <si>
    <t>copia espadin</t>
  </si>
  <si>
    <t>fiorino 0km</t>
  </si>
  <si>
    <t>no andan luces ni telemando</t>
  </si>
  <si>
    <t>sacar de modo logistico</t>
  </si>
  <si>
    <t>kangoo ln</t>
  </si>
  <si>
    <t>luz aribag</t>
  </si>
  <si>
    <t>daignostico</t>
  </si>
  <si>
    <t>airbag conductor abierto, cambiar cinta</t>
  </si>
  <si>
    <t>X</t>
  </si>
  <si>
    <t>CLIO MIO</t>
  </si>
  <si>
    <t>LLAVE ROTA</t>
  </si>
  <si>
    <t>cambio carcasa y boton</t>
  </si>
  <si>
    <t>gaston madariaga</t>
  </si>
  <si>
    <t>fiorino 1.3</t>
  </si>
  <si>
    <t>arranca y se para</t>
  </si>
  <si>
    <t>cambio de bomba de nafta y 1 inyector</t>
  </si>
  <si>
    <t>hilux 2.5 2013</t>
  </si>
  <si>
    <t>copia de llave comun sin chip</t>
  </si>
  <si>
    <t>raul taller estacion vieja</t>
  </si>
  <si>
    <t>vento 2010 tdi</t>
  </si>
  <si>
    <t>fallas varias</t>
  </si>
  <si>
    <t>escaneo</t>
  </si>
  <si>
    <t>ezequiel 207</t>
  </si>
  <si>
    <t>llave rota</t>
  </si>
  <si>
    <t>tallado desde cero + carcasa+botones+1 llave portachip nueva</t>
  </si>
  <si>
    <t>check prendido por baja bateria y codigo u1000</t>
  </si>
  <si>
    <t>borrado de fallas saltando vigia</t>
  </si>
  <si>
    <t>heladera</t>
  </si>
  <si>
    <t>2 llaves nuevas portachip, llave anterior mala calidad</t>
  </si>
  <si>
    <t>pedro</t>
  </si>
  <si>
    <t>vw vento</t>
  </si>
  <si>
    <t>luz abs</t>
  </si>
  <si>
    <t>diagnostico falla sensor abs</t>
  </si>
  <si>
    <t>ciente</t>
  </si>
  <si>
    <t>nissan frontier 2010</t>
  </si>
  <si>
    <t>reparacion cableado derretido</t>
  </si>
  <si>
    <t>cliente</t>
  </si>
  <si>
    <t>corsa 2003</t>
  </si>
  <si>
    <t>bobina quemada, cambio</t>
  </si>
  <si>
    <t>daniel lambert</t>
  </si>
  <si>
    <t>ford ranger 2014</t>
  </si>
  <si>
    <t>luces bajas no activan</t>
  </si>
  <si>
    <t>reprogramacion de bcm en banco</t>
  </si>
  <si>
    <t>mati pala</t>
  </si>
  <si>
    <t>ford fiesta kinetic</t>
  </si>
  <si>
    <t>no activa control crucero</t>
  </si>
  <si>
    <t>borrado de fallas y salio andando</t>
  </si>
  <si>
    <t>reparacion</t>
  </si>
  <si>
    <t>tira explosiones y falla</t>
  </si>
  <si>
    <t>cambio sensor rpm por cables pelados</t>
  </si>
  <si>
    <t>leandro</t>
  </si>
  <si>
    <t>reparacion electricidad</t>
  </si>
  <si>
    <t>corolla 2005</t>
  </si>
  <si>
    <t>no anda limpiaparabrisas</t>
  </si>
  <si>
    <t>cambio cable de masa desde el motor al chasis</t>
  </si>
  <si>
    <t>soledad barbadillo</t>
  </si>
  <si>
    <t>diagnostico electricidad</t>
  </si>
  <si>
    <t>chery</t>
  </si>
  <si>
    <t>relay luces bajas quemado, solo se cambio por otro</t>
  </si>
  <si>
    <t>queda pendiente reparar fusiblera por seguridad</t>
  </si>
  <si>
    <t xml:space="preserve">carlos corsa </t>
  </si>
  <si>
    <t>corsa2 1.7 dti 2003</t>
  </si>
  <si>
    <t>puesta a punto bomba inyectora</t>
  </si>
  <si>
    <t>taler</t>
  </si>
  <si>
    <t>solo diagnostico</t>
  </si>
  <si>
    <t>el cambio el cuerpo aceleracion</t>
  </si>
  <si>
    <t>nn</t>
  </si>
  <si>
    <t>partner</t>
  </si>
  <si>
    <t>carcasa rota</t>
  </si>
  <si>
    <t>juan aragona</t>
  </si>
  <si>
    <t>diagnos</t>
  </si>
  <si>
    <t>falla en 2 cilindros</t>
  </si>
  <si>
    <t>diagno</t>
  </si>
  <si>
    <t>p 208</t>
  </si>
  <si>
    <t>check</t>
  </si>
  <si>
    <t>reajuste de inyeccion con scanner</t>
  </si>
  <si>
    <t>amarok</t>
  </si>
  <si>
    <t>reparacion ficha cortada sensor de impacto conductor delantera</t>
  </si>
  <si>
    <t>audi a4</t>
  </si>
  <si>
    <t>cambio carcasa y chip para segunda llave</t>
  </si>
  <si>
    <t>daniel chechek</t>
  </si>
  <si>
    <t>diagnostic</t>
  </si>
  <si>
    <t>c4 lounge</t>
  </si>
  <si>
    <t>bulbo stop fallado, se reemplazo el bulbo</t>
  </si>
  <si>
    <t>sebastian lopez</t>
  </si>
  <si>
    <t>206 full</t>
  </si>
  <si>
    <t>reparacion com 2000 y reparacion red can por modo eco</t>
  </si>
  <si>
    <t xml:space="preserve">rayan </t>
  </si>
  <si>
    <t>telemando y luz airbag</t>
  </si>
  <si>
    <t>borrado de fallas y copia de llave</t>
  </si>
  <si>
    <t>matias cervela</t>
  </si>
  <si>
    <t>focus 2.0 ghia</t>
  </si>
  <si>
    <t>falla en aceleracion</t>
  </si>
  <si>
    <t>resoldado de tablero</t>
  </si>
  <si>
    <t>gol</t>
  </si>
  <si>
    <t>banqueo ecu</t>
  </si>
  <si>
    <t>costos fijos</t>
  </si>
  <si>
    <t>suma costos fijos</t>
  </si>
  <si>
    <t xml:space="preserve">se necesita un minimo por dia de </t>
  </si>
  <si>
    <t>combustible</t>
  </si>
  <si>
    <t>seguro</t>
  </si>
  <si>
    <t>mantenimiento</t>
  </si>
  <si>
    <t>renovacion vehiculo</t>
  </si>
  <si>
    <t>licencias</t>
  </si>
  <si>
    <t>contador</t>
  </si>
  <si>
    <t>afip</t>
  </si>
  <si>
    <t>sueldo tecnico</t>
  </si>
  <si>
    <t>impositivos del empleado</t>
  </si>
  <si>
    <t>estimativo de venta total</t>
  </si>
  <si>
    <t>estimativo de ganancias</t>
  </si>
  <si>
    <t>costos variables</t>
  </si>
  <si>
    <t>alquiler</t>
  </si>
  <si>
    <t>afip variable 10%</t>
  </si>
  <si>
    <t>luz</t>
  </si>
  <si>
    <t>punto de equilibrio</t>
  </si>
  <si>
    <t>comision por cobros 4%</t>
  </si>
  <si>
    <t>internet</t>
  </si>
  <si>
    <t>punto de equilibrio x hora</t>
  </si>
  <si>
    <t>ganancias al 50%</t>
  </si>
  <si>
    <t>impuesto municipal</t>
  </si>
  <si>
    <t>ideal x hora</t>
  </si>
  <si>
    <t>ventas por dia</t>
  </si>
  <si>
    <t>habilitacion</t>
  </si>
  <si>
    <t>afip fijo</t>
  </si>
  <si>
    <t>tecnico 1</t>
  </si>
  <si>
    <t>tecnico 2</t>
  </si>
  <si>
    <t>administrativo</t>
  </si>
  <si>
    <t>costo empleados(suma de todos</t>
  </si>
  <si>
    <t>marketing, publicidad y redes</t>
  </si>
  <si>
    <t>licencia de equipos</t>
  </si>
  <si>
    <t>compra de equipos nuevos</t>
  </si>
  <si>
    <t>patente</t>
  </si>
  <si>
    <t>gastos minimos</t>
  </si>
  <si>
    <t>costo de hora</t>
  </si>
  <si>
    <t>ahorro</t>
  </si>
  <si>
    <t>local</t>
  </si>
  <si>
    <t>impuestos</t>
  </si>
  <si>
    <t>sandero 2020</t>
  </si>
  <si>
    <t>cambio swich y carcasa</t>
  </si>
  <si>
    <t>tano cerniello</t>
  </si>
  <si>
    <t>gol 2006</t>
  </si>
  <si>
    <t>-</t>
  </si>
  <si>
    <t>mati palazezzi</t>
  </si>
  <si>
    <t>asistencia</t>
  </si>
  <si>
    <t>ecosport 2015</t>
  </si>
  <si>
    <t>limpieza cuerpo mariposa y programacion</t>
  </si>
  <si>
    <t>fabricio</t>
  </si>
  <si>
    <t>clio mio</t>
  </si>
  <si>
    <t>rateo de combustion</t>
  </si>
  <si>
    <t>cambio cable y bujias ajuste cuerpo mariposa</t>
  </si>
  <si>
    <t>nanni</t>
  </si>
  <si>
    <t>citroen c3 2015</t>
  </si>
  <si>
    <t>no andan las llaves</t>
  </si>
  <si>
    <t>cambio pila, botones y carcasas ambas llaves</t>
  </si>
  <si>
    <t>edgardo</t>
  </si>
  <si>
    <t>suran sdi</t>
  </si>
  <si>
    <t>luz airbag encendida</t>
  </si>
  <si>
    <t>cambio cinta airbag + colocacion bocina</t>
  </si>
  <si>
    <t xml:space="preserve">ecosport </t>
  </si>
  <si>
    <t>no anda veocimetro</t>
  </si>
  <si>
    <t>reparacion cableado</t>
  </si>
  <si>
    <t>clio 2</t>
  </si>
  <si>
    <t>calibracion mariposa</t>
  </si>
  <si>
    <t>ecosport</t>
  </si>
  <si>
    <t>todas las llaves gastadas</t>
  </si>
  <si>
    <t>tallado de llave desde cilindro</t>
  </si>
  <si>
    <t>bora 2.0 at</t>
  </si>
  <si>
    <t>centralizado trasero</t>
  </si>
  <si>
    <t>cambio de motores cerradura trasera</t>
  </si>
  <si>
    <t>gutierrez</t>
  </si>
  <si>
    <t>peugeot 208</t>
  </si>
  <si>
    <t>switch cerradura puerda conductor no anda</t>
  </si>
  <si>
    <t>reparacion de cableado puerta</t>
  </si>
  <si>
    <t>falla agujas tablero</t>
  </si>
  <si>
    <t>banqueo tablero. sin fallas aparentes</t>
  </si>
  <si>
    <t>inyeccion</t>
  </si>
  <si>
    <t>corsa 2 2009</t>
  </si>
  <si>
    <t>no anda a nafta</t>
  </si>
  <si>
    <t>limpieza tanque, inyectores, cambio bomba, reparacion ecu</t>
  </si>
  <si>
    <t>la ecu quedo con falla de programacion interna</t>
  </si>
  <si>
    <t>daiana la plata</t>
  </si>
  <si>
    <t>recomend mati</t>
  </si>
  <si>
    <t>gol trend at</t>
  </si>
  <si>
    <t>escaneo por luz de check</t>
  </si>
  <si>
    <t>escaneo de fallas, hay fallas de comunicacion</t>
  </si>
  <si>
    <t>el instrumental queda con falla permanente</t>
  </si>
  <si>
    <t>cerrajeria dorado</t>
  </si>
  <si>
    <t>cambio de pulsadores telemando</t>
  </si>
  <si>
    <t>fede</t>
  </si>
  <si>
    <t>clio</t>
  </si>
  <si>
    <t>cambio carcasa y pila</t>
  </si>
  <si>
    <t>corsa 2</t>
  </si>
  <si>
    <t>diagnostico basico</t>
  </si>
  <si>
    <t>fiesta max</t>
  </si>
  <si>
    <t>llaves desprogramadas</t>
  </si>
  <si>
    <t>programacion de chips</t>
  </si>
  <si>
    <t>s10 mwm</t>
  </si>
  <si>
    <t>control roto</t>
  </si>
  <si>
    <t>reparacion telemando y copia de llave con chip</t>
  </si>
  <si>
    <t>passat v6</t>
  </si>
  <si>
    <t>centralizado conductor no abre</t>
  </si>
  <si>
    <t>desarme y limpieza cerradura</t>
  </si>
  <si>
    <t>ever 307</t>
  </si>
  <si>
    <t>cliente recomnd</t>
  </si>
  <si>
    <t>peugeot 307 1.6n</t>
  </si>
  <si>
    <t>falla motor</t>
  </si>
  <si>
    <t>reemplazo de bobina</t>
  </si>
  <si>
    <t>el clientetrajouna usada de su p´ropiedad</t>
  </si>
  <si>
    <t>nicolas clio</t>
  </si>
  <si>
    <t>cliente recomed</t>
  </si>
  <si>
    <t>renault clio</t>
  </si>
  <si>
    <t>falla levantavidrios</t>
  </si>
  <si>
    <t>reparacion maquina levantavid, conductor</t>
  </si>
  <si>
    <t>la repara marcelo olaizola</t>
  </si>
  <si>
    <t>eduardo traboni</t>
  </si>
  <si>
    <t>peugeot 206</t>
  </si>
  <si>
    <t>arranca y se apaga</t>
  </si>
  <si>
    <t>reparacion ramal inyeccion</t>
  </si>
  <si>
    <t xml:space="preserve">raul </t>
  </si>
  <si>
    <t>recomendadp</t>
  </si>
  <si>
    <t>vectra 2.4 2009</t>
  </si>
  <si>
    <t>reparacion cilindro de arranque</t>
  </si>
  <si>
    <t>matias palazezzi</t>
  </si>
  <si>
    <t>astra 1.8 8v</t>
  </si>
  <si>
    <t>falta alimentacion de bomba</t>
  </si>
  <si>
    <t>reparacion de ficha quemada bomba de nafta</t>
  </si>
  <si>
    <t>diagnostigo</t>
  </si>
  <si>
    <t>fiat punto 1.6 16v iaw g7f</t>
  </si>
  <si>
    <t>falla sensor cmp plausibilidad</t>
  </si>
  <si>
    <t>cambio de sensor fispa por original</t>
  </si>
  <si>
    <t>gaston electricista</t>
  </si>
  <si>
    <t>kia sportage 08-10</t>
  </si>
  <si>
    <t>llave de puerta no gira</t>
  </si>
  <si>
    <t>desarme cilindro y tenia restos metalicos dentro</t>
  </si>
  <si>
    <t>braian almiron</t>
  </si>
  <si>
    <t>vw vento 2.5 2007</t>
  </si>
  <si>
    <t>direccion electrica no funciona</t>
  </si>
  <si>
    <t>modulo quemado, y ajuste basico del nuevo</t>
  </si>
  <si>
    <t>ford ka</t>
  </si>
  <si>
    <t>presion de comb. baja y no retiene</t>
  </si>
  <si>
    <t>juani barilari</t>
  </si>
  <si>
    <t>revision</t>
  </si>
  <si>
    <t>gol trend</t>
  </si>
  <si>
    <t>ruido cerradura</t>
  </si>
  <si>
    <t>pendiente de cambiar cerradura y tecla baliza</t>
  </si>
  <si>
    <t>se le cobro solo la revision y no se reparo</t>
  </si>
  <si>
    <t>ignacio fox</t>
  </si>
  <si>
    <t>duster 2.0</t>
  </si>
  <si>
    <t xml:space="preserve">cuesta arrancar </t>
  </si>
  <si>
    <t>perdida de gnc constante por manguera de vacio</t>
  </si>
  <si>
    <t>solo se le cobro diagnostico, queda reparar parte del gnc</t>
  </si>
  <si>
    <t>PAPA IGNACIO FOX</t>
  </si>
  <si>
    <t>RECOMENDADO</t>
  </si>
  <si>
    <t>AIRE ACOND</t>
  </si>
  <si>
    <t>PEUGEOT 207 1.9D</t>
  </si>
  <si>
    <t>NO ACOMPLA COMPRESOR</t>
  </si>
  <si>
    <t>bsi bloqueada, se puso relee externo</t>
  </si>
  <si>
    <t>recomend</t>
  </si>
  <si>
    <t>honda fit</t>
  </si>
  <si>
    <t>falla encendido</t>
  </si>
  <si>
    <t>falla encendido cilindro 4</t>
  </si>
  <si>
    <t>cliente de ariel cambio bujia y bobina</t>
  </si>
  <si>
    <t>peugeot partner 1.6 hdi</t>
  </si>
  <si>
    <t>aguja velocimetro caida</t>
  </si>
  <si>
    <t>se pego la aguja por traba partida</t>
  </si>
  <si>
    <t>juan frontier</t>
  </si>
  <si>
    <t>no acciona ningun vidrio</t>
  </si>
  <si>
    <t>tecla trasera trabada bajando, se destrabo y salio andando</t>
  </si>
  <si>
    <t>ariel mecanico</t>
  </si>
  <si>
    <t>vw gol 1.4</t>
  </si>
  <si>
    <t>no pega rele de bomba</t>
  </si>
  <si>
    <t>no funciona relee</t>
  </si>
  <si>
    <t>el se encarga de comprar el nuevo</t>
  </si>
  <si>
    <t>diego brunoldi</t>
  </si>
  <si>
    <t>ford focus 2.0</t>
  </si>
  <si>
    <t>falla intermitente inmo</t>
  </si>
  <si>
    <t>reparacion fichas piso sulfatadas</t>
  </si>
  <si>
    <t>luces apagadas odometro</t>
  </si>
  <si>
    <t>cambio lamparita display y ficha antena estereo</t>
  </si>
  <si>
    <t>saveiro 1.6 trend</t>
  </si>
  <si>
    <t>tablero SAFE</t>
  </si>
  <si>
    <t>reparacion soldaduras tablero</t>
  </si>
  <si>
    <t>milena ford fiesta</t>
  </si>
  <si>
    <t>ford fiesta rocam 1.6</t>
  </si>
  <si>
    <t>falla temperatura y aceleracion</t>
  </si>
  <si>
    <t>reemplazo sensor de temperatura</t>
  </si>
  <si>
    <t>no arranca luego de cambiar motor</t>
  </si>
  <si>
    <t>volante de motor incorrecto- señal ckp demasiado debil</t>
  </si>
  <si>
    <t>ricardo pastor</t>
  </si>
  <si>
    <t>falla cilindro 4</t>
  </si>
  <si>
    <t>falla bobina</t>
  </si>
  <si>
    <t>quedo pendiente de conseguir repuesto</t>
  </si>
  <si>
    <t>edgardo gnc</t>
  </si>
  <si>
    <t>clio 1.2</t>
  </si>
  <si>
    <t>se cambio filtro de nafta y se recomienda reparar mangueras de la rampa</t>
  </si>
  <si>
    <t>velocimetro no anda y llave de arranque rara</t>
  </si>
  <si>
    <t>cambio sensor vss y contactor de arranque</t>
  </si>
  <si>
    <t>ryan vento</t>
  </si>
  <si>
    <t>cerraeria</t>
  </si>
  <si>
    <t>vento 2015</t>
  </si>
  <si>
    <t>se traba llave de arranque</t>
  </si>
  <si>
    <t>cambio collar de arranque completo y cambio carcasa de llave</t>
  </si>
  <si>
    <t>cambio de bobina</t>
  </si>
  <si>
    <t>mario clio</t>
  </si>
  <si>
    <t>clio 2010</t>
  </si>
  <si>
    <t>copia de llave comun hecha navaja</t>
  </si>
  <si>
    <t>llave navaja honda</t>
  </si>
  <si>
    <t>juan leon</t>
  </si>
  <si>
    <t>peugeot 307</t>
  </si>
  <si>
    <t>ecu_ masas voladas</t>
  </si>
  <si>
    <t>cinta airbag</t>
  </si>
  <si>
    <t>reparacion cinta cortada en 2 puntos</t>
  </si>
  <si>
    <t>marcelo focus2</t>
  </si>
  <si>
    <t>copia llave xhorse</t>
  </si>
  <si>
    <t>focus 2</t>
  </si>
  <si>
    <t>fede pavon</t>
  </si>
  <si>
    <t>recomend farid</t>
  </si>
  <si>
    <t>reparacion electr</t>
  </si>
  <si>
    <t>cambio ficha luces</t>
  </si>
  <si>
    <t>agile 2010</t>
  </si>
  <si>
    <t>maximiliano</t>
  </si>
  <si>
    <t>recomend garino</t>
  </si>
  <si>
    <t>cableado en corto 5v + copia de llave</t>
  </si>
  <si>
    <t>corsa2 2009</t>
  </si>
  <si>
    <t>ig</t>
  </si>
  <si>
    <t>control no andaba y cerradura rota</t>
  </si>
  <si>
    <t>reparacion de control original + copia vvdi</t>
  </si>
  <si>
    <t>frontier 2006</t>
  </si>
  <si>
    <t>marina</t>
  </si>
  <si>
    <t>falla de inyeccion</t>
  </si>
  <si>
    <t>cable de sensor knock cortado</t>
  </si>
  <si>
    <t>citroen c4</t>
  </si>
  <si>
    <t>gustavo diaz</t>
  </si>
  <si>
    <t>cliente de matias palaz</t>
  </si>
  <si>
    <t>electricidad</t>
  </si>
  <si>
    <t>se activa la alarma</t>
  </si>
  <si>
    <t>sacar alarma por completo</t>
  </si>
  <si>
    <t>vw gol 2013</t>
  </si>
  <si>
    <t>lubricentro gorosito</t>
  </si>
  <si>
    <t>cambio carcasa Y PILA. SIN TALLADO</t>
  </si>
  <si>
    <t>pinino ferzola</t>
  </si>
  <si>
    <t>estereo bloqueado</t>
  </si>
  <si>
    <t>desbloqueo y obtencion codigo</t>
  </si>
  <si>
    <t>electr</t>
  </si>
  <si>
    <t>tecla levantavidrios</t>
  </si>
  <si>
    <t>limpieza fichas levantavidrios</t>
  </si>
  <si>
    <t>ana ferzola</t>
  </si>
  <si>
    <t>sacar alternador y mandar a reparar</t>
  </si>
  <si>
    <t>no anda direccion</t>
  </si>
  <si>
    <t>diagnostico por etapa</t>
  </si>
  <si>
    <t>vento 2.5 2007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</si>
</sst>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d/m/yy"/>
    <numFmt numFmtId="166" formatCode="d/m"/>
    <numFmt numFmtId="167" formatCode="dd/mm/yyyy"/>
    <numFmt numFmtId="168" formatCode="&quot;$&quot;#,##0"/>
    <numFmt numFmtId="169" formatCode="d/M/yyyy"/>
    <numFmt numFmtId="170" formatCode="d-m-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3">
    <border/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9" xfId="0" applyAlignment="1" applyFont="1" applyNumberFormat="1">
      <alignment readingOrder="0" shrinkToFit="0" vertical="center" wrapText="0"/>
    </xf>
    <xf borderId="0" fillId="0" fontId="1" numFmtId="168" xfId="0" applyFont="1" applyNumberFormat="1"/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1" fillId="3" fontId="2" numFmtId="49" xfId="0" applyAlignment="1" applyBorder="1" applyFill="1" applyFont="1" applyNumberFormat="1">
      <alignment readingOrder="0" shrinkToFit="0" vertical="center" wrapText="0"/>
    </xf>
    <xf borderId="2" fillId="3" fontId="2" numFmtId="0" xfId="0" applyAlignment="1" applyBorder="1" applyFont="1">
      <alignment readingOrder="0" shrinkToFit="0" vertical="center" wrapText="0"/>
    </xf>
    <xf borderId="2" fillId="3" fontId="2" numFmtId="49" xfId="0" applyAlignment="1" applyBorder="1" applyFont="1" applyNumberFormat="1">
      <alignment readingOrder="0" shrinkToFit="0" vertical="center" wrapText="0"/>
    </xf>
    <xf borderId="2" fillId="3" fontId="2" numFmtId="0" xfId="0" applyAlignment="1" applyBorder="1" applyFont="1">
      <alignment readingOrder="0" shrinkToFit="0" vertical="center" wrapText="0"/>
    </xf>
    <xf borderId="2" fillId="3" fontId="2" numFmtId="49" xfId="0" applyAlignment="1" applyBorder="1" applyFont="1" applyNumberFormat="1">
      <alignment readingOrder="0" shrinkToFit="0" vertical="center" wrapText="0"/>
    </xf>
    <xf borderId="2" fillId="3" fontId="3" numFmtId="0" xfId="0" applyAlignment="1" applyBorder="1" applyFont="1">
      <alignment shrinkToFit="0" vertical="center" wrapText="0"/>
    </xf>
    <xf borderId="2" fillId="3" fontId="3" numFmtId="49" xfId="0" applyAlignment="1" applyBorder="1" applyFont="1" applyNumberFormat="1">
      <alignment shrinkToFit="0" vertical="center" wrapText="0"/>
    </xf>
    <xf borderId="2" fillId="3" fontId="2" numFmtId="169" xfId="0" applyAlignment="1" applyBorder="1" applyFont="1" applyNumberFormat="1">
      <alignment readingOrder="0" shrinkToFit="0" vertical="center" wrapText="0"/>
    </xf>
    <xf borderId="2" fillId="3" fontId="2" numFmtId="3" xfId="0" applyAlignment="1" applyBorder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2" fillId="3" fontId="2" numFmtId="170" xfId="0" applyAlignment="1" applyBorder="1" applyFont="1" applyNumberFormat="1">
      <alignment horizontal="right" readingOrder="0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3" fontId="2" numFmtId="0" xfId="0" applyAlignment="1" applyBorder="1" applyFont="1">
      <alignment shrinkToFit="0" vertical="center" wrapText="0"/>
    </xf>
    <xf borderId="2" fillId="3" fontId="2" numFmtId="49" xfId="0" applyAlignment="1" applyBorder="1" applyFont="1" applyNumberFormat="1">
      <alignment shrinkToFit="0" vertical="center" wrapText="0"/>
    </xf>
    <xf borderId="2" fillId="3" fontId="2" numFmtId="0" xfId="0" applyAlignment="1" applyBorder="1" applyFont="1">
      <alignment shrinkToFit="0" vertical="center" wrapText="0"/>
    </xf>
    <xf borderId="2" fillId="3" fontId="2" numFmtId="49" xfId="0" applyAlignment="1" applyBorder="1" applyFont="1" applyNumberFormat="1">
      <alignment shrinkToFit="0" vertical="center" wrapText="0"/>
    </xf>
    <xf borderId="2" fillId="3" fontId="2" numFmtId="170" xfId="0" applyAlignment="1" applyBorder="1" applyFont="1" applyNumberFormat="1">
      <alignment horizontal="right" shrinkToFit="0" vertical="center" wrapText="0"/>
    </xf>
    <xf borderId="2" fillId="3" fontId="2" numFmtId="3" xfId="0" applyAlignment="1" applyBorder="1" applyFont="1" applyNumberFormat="1">
      <alignment horizontal="right" shrinkToFit="0" vertical="center" wrapText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Font="1"/>
    <xf borderId="0" fillId="7" fontId="1" numFmtId="0" xfId="0" applyFont="1"/>
    <xf borderId="0" fillId="8" fontId="1" numFmtId="0" xfId="0" applyFill="1" applyFont="1"/>
    <xf borderId="0" fillId="8" fontId="1" numFmtId="0" xfId="0" applyAlignment="1" applyFont="1">
      <alignment readingOrder="0"/>
    </xf>
    <xf borderId="0" fillId="9" fontId="1" numFmtId="0" xfId="0" applyFill="1" applyFont="1"/>
    <xf borderId="0" fillId="9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0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7" displayName="Trabajos_y_clientes" name="Trabajos_y_clientes" id="1">
  <tableColumns count="16">
    <tableColumn name="Nombre" id="1"/>
    <tableColumn name="tipo de cliente" id="2"/>
    <tableColumn name="Tipo de trabajo" id="3"/>
    <tableColumn name="Problema por el que se presenta" id="4"/>
    <tableColumn name="trabajo realizado" id="5"/>
    <tableColumn name="vehiculo" id="6"/>
    <tableColumn name="dominio" id="7"/>
    <tableColumn name="Teléfono" id="8"/>
    <tableColumn name="Notas" id="9"/>
    <tableColumn name="Fecha de ingreso" id="10"/>
    <tableColumn name="Fecha de egreso" id="11"/>
    <tableColumn name="valor del trabajo" id="12"/>
    <tableColumn name="costo" id="13"/>
    <tableColumn name="total venta" id="14"/>
    <tableColumn name="total costo" id="15"/>
    <tableColumn name="rendimiento" id="16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1:Q34" displayName="Trabajos_y_clientes_10" name="Trabajos_y_clientes_10" id="2">
  <tableColumns count="17">
    <tableColumn name="Nombre" id="1"/>
    <tableColumn name="tipo de cliente" id="2"/>
    <tableColumn name="Tipo de trabajo" id="3"/>
    <tableColumn name="vehiculo" id="4"/>
    <tableColumn name="Problema por el que se presenta" id="5"/>
    <tableColumn name="trabajo realizado" id="6"/>
    <tableColumn name="dominio" id="7"/>
    <tableColumn name="Teléfono" id="8"/>
    <tableColumn name="Notas" id="9"/>
    <tableColumn name="Fecha de ingreso" id="10"/>
    <tableColumn name="Fecha de egreso" id="11"/>
    <tableColumn name="valor del trabajo" id="12"/>
    <tableColumn name="costo" id="13"/>
    <tableColumn name="total venta" id="14"/>
    <tableColumn name="total costo" id="15"/>
    <tableColumn name="rendimiento" id="16"/>
    <tableColumn name="cobrado" id="17"/>
  </tableColumns>
  <tableStyleInfo name="marzo 2026-style" showColumnStripes="0" showFirstColumn="1" showLastColumn="1" showRowStripes="1"/>
</table>
</file>

<file path=xl/tables/table3.xml><?xml version="1.0" encoding="utf-8"?>
<table xmlns="http://schemas.openxmlformats.org/spreadsheetml/2006/main" ref="A1:Q34" displayName="Trabajos_y_clientes_9" name="Trabajos_y_clientes_9" id="3">
  <tableColumns count="17">
    <tableColumn name="Nombre" id="1"/>
    <tableColumn name="tipo de cliente" id="2"/>
    <tableColumn name="Tipo de trabajo" id="3"/>
    <tableColumn name="vehiculo" id="4"/>
    <tableColumn name="Problema por el que se presenta" id="5"/>
    <tableColumn name="trabajo realizado" id="6"/>
    <tableColumn name="dominio" id="7"/>
    <tableColumn name="Teléfono" id="8"/>
    <tableColumn name="Notas" id="9"/>
    <tableColumn name="Fecha de ingreso" id="10"/>
    <tableColumn name="Fecha de egreso" id="11"/>
    <tableColumn name="valor del trabajo" id="12"/>
    <tableColumn name="costo" id="13"/>
    <tableColumn name="total venta" id="14"/>
    <tableColumn name="total costo" id="15"/>
    <tableColumn name="rendimiento" id="16"/>
    <tableColumn name="cobrado" id="17"/>
  </tableColumns>
  <tableStyleInfo name="febrero 2026-style" showColumnStripes="0" showFirstColumn="1" showLastColumn="1" showRowStripes="1"/>
</table>
</file>

<file path=xl/tables/table4.xml><?xml version="1.0" encoding="utf-8"?>
<table xmlns="http://schemas.openxmlformats.org/spreadsheetml/2006/main" ref="A1:Q35" displayName="Trabajos_y_clientes_8" name="Trabajos_y_clientes_8" id="4">
  <tableColumns count="17">
    <tableColumn name="Nombre" id="1"/>
    <tableColumn name="tipo de cliente" id="2"/>
    <tableColumn name="Tipo de trabajo" id="3"/>
    <tableColumn name="vehiculo" id="4"/>
    <tableColumn name="Problema por el que se presenta" id="5"/>
    <tableColumn name="trabajo realizado" id="6"/>
    <tableColumn name="dominio" id="7"/>
    <tableColumn name="Teléfono" id="8"/>
    <tableColumn name="Notas" id="9"/>
    <tableColumn name="Fecha de ingreso" id="10"/>
    <tableColumn name="Fecha de egreso" id="11"/>
    <tableColumn name="valor del trabajo" id="12"/>
    <tableColumn name="costo" id="13"/>
    <tableColumn name="total venta" id="14"/>
    <tableColumn name="total costo" id="15"/>
    <tableColumn name="rendimiento" id="16"/>
    <tableColumn name="cobrado" id="17"/>
  </tableColumns>
  <tableStyleInfo name="ene2026-style" showColumnStripes="0" showFirstColumn="1" showLastColumn="1" showRowStripes="1"/>
</table>
</file>

<file path=xl/tables/table5.xml><?xml version="1.0" encoding="utf-8"?>
<table xmlns="http://schemas.openxmlformats.org/spreadsheetml/2006/main" ref="A1:Q30" displayName="Trabajos_y_clientes_7" name="Trabajos_y_clientes_7" id="5">
  <tableColumns count="17">
    <tableColumn name="Nombre" id="1"/>
    <tableColumn name="tipo de cliente" id="2"/>
    <tableColumn name="Tipo de trabajo" id="3"/>
    <tableColumn name="vehiculo" id="4"/>
    <tableColumn name="Problema por el que se presenta" id="5"/>
    <tableColumn name="trabajo realizado" id="6"/>
    <tableColumn name="dominio" id="7"/>
    <tableColumn name="Teléfono" id="8"/>
    <tableColumn name="Notas" id="9"/>
    <tableColumn name="Fecha de ingreso" id="10"/>
    <tableColumn name="Fecha de egreso" id="11"/>
    <tableColumn name="valor del trabajo" id="12"/>
    <tableColumn name="costo" id="13"/>
    <tableColumn name="total venta" id="14"/>
    <tableColumn name="total costo" id="15"/>
    <tableColumn name="rendimiento" id="16"/>
    <tableColumn name="cobrado" id="17"/>
  </tableColumns>
  <tableStyleInfo name="diciembre-style" showColumnStripes="0" showFirstColumn="1" showLastColumn="1" showRowStripes="1"/>
</table>
</file>

<file path=xl/tables/table6.xml><?xml version="1.0" encoding="utf-8"?>
<table xmlns="http://schemas.openxmlformats.org/spreadsheetml/2006/main" ref="A1:Q30" displayName="Trabajos_y_clientes_6" name="Trabajos_y_clientes_6" id="6">
  <tableColumns count="17">
    <tableColumn name="Nombre" id="1"/>
    <tableColumn name="tipo de cliente" id="2"/>
    <tableColumn name="Tipo de trabajo" id="3"/>
    <tableColumn name="vehiculo" id="4"/>
    <tableColumn name="Problema por el que se presenta" id="5"/>
    <tableColumn name="trabajo realizado" id="6"/>
    <tableColumn name="dominio" id="7"/>
    <tableColumn name="Teléfono" id="8"/>
    <tableColumn name="Notas" id="9"/>
    <tableColumn name="Fecha de ingreso" id="10"/>
    <tableColumn name="Fecha de egreso" id="11"/>
    <tableColumn name="valor del trabajo" id="12"/>
    <tableColumn name="costo" id="13"/>
    <tableColumn name="total venta" id="14"/>
    <tableColumn name="total costo" id="15"/>
    <tableColumn name="rendimiento" id="16"/>
    <tableColumn name="cobrado" id="17"/>
  </tableColumns>
  <tableStyleInfo name="noviembre-style" showColumnStripes="0" showFirstColumn="1" showLastColumn="1" showRowStripes="1"/>
</table>
</file>

<file path=xl/tables/table7.xml><?xml version="1.0" encoding="utf-8"?>
<table xmlns="http://schemas.openxmlformats.org/spreadsheetml/2006/main" ref="A1:P30" displayName="Trabajos_y_clientes_5" name="Trabajos_y_clientes_5" id="7">
  <tableColumns count="16">
    <tableColumn name="Nombre" id="1"/>
    <tableColumn name="tipo de cliente" id="2"/>
    <tableColumn name="Tipo de trabajo" id="3"/>
    <tableColumn name="vehiculo" id="4"/>
    <tableColumn name="Problema por el que se presenta" id="5"/>
    <tableColumn name="trabajo realizado" id="6"/>
    <tableColumn name="dominio" id="7"/>
    <tableColumn name="Teléfono" id="8"/>
    <tableColumn name="Notas" id="9"/>
    <tableColumn name="Fecha de ingreso" id="10"/>
    <tableColumn name="Fecha de egreso" id="11"/>
    <tableColumn name="valor del trabajo" id="12"/>
    <tableColumn name="costo" id="13"/>
    <tableColumn name="total venta" id="14"/>
    <tableColumn name="total costo" id="15"/>
    <tableColumn name="rendimiento" id="16"/>
  </tableColumns>
  <tableStyleInfo name="mayo-style" showColumnStripes="0" showFirstColumn="1" showLastColumn="1" showRowStripes="1"/>
</table>
</file>

<file path=xl/tables/table8.xml><?xml version="1.0" encoding="utf-8"?>
<table xmlns="http://schemas.openxmlformats.org/spreadsheetml/2006/main" ref="A1:P30" displayName="Trabajos_y_clientes_4" name="Trabajos_y_clientes_4" id="8">
  <tableColumns count="16">
    <tableColumn name="Nombre" id="1"/>
    <tableColumn name="tipo de cliente" id="2"/>
    <tableColumn name="Tipo de trabajo" id="3"/>
    <tableColumn name="vehiculo" id="4"/>
    <tableColumn name="Problema por el que se presenta" id="5"/>
    <tableColumn name="trabajo realizado" id="6"/>
    <tableColumn name="dominio" id="7"/>
    <tableColumn name="Teléfono" id="8"/>
    <tableColumn name="Notas" id="9"/>
    <tableColumn name="Fecha de ingreso" id="10"/>
    <tableColumn name="Fecha de egreso" id="11"/>
    <tableColumn name="valor del trabajo" id="12"/>
    <tableColumn name="costo" id="13"/>
    <tableColumn name="total venta" id="14"/>
    <tableColumn name="total costo" id="15"/>
    <tableColumn name="rendimiento" id="16"/>
  </tableColumns>
  <tableStyleInfo name="abril-style" showColumnStripes="0" showFirstColumn="1" showLastColumn="1" showRowStripes="1"/>
</table>
</file>

<file path=xl/tables/table9.xml><?xml version="1.0" encoding="utf-8"?>
<table xmlns="http://schemas.openxmlformats.org/spreadsheetml/2006/main" ref="A1:P30" displayName="Trabajos_y_clientes_3" name="Trabajos_y_clientes_3" id="9">
  <tableColumns count="16">
    <tableColumn name="Nombre" id="1"/>
    <tableColumn name="tipo de cliente" id="2"/>
    <tableColumn name="Tipo de trabajo" id="3"/>
    <tableColumn name="vehiculo" id="4"/>
    <tableColumn name="Problema por el que se presenta" id="5"/>
    <tableColumn name="trabajo realizado" id="6"/>
    <tableColumn name="dominio" id="7"/>
    <tableColumn name="Teléfono" id="8"/>
    <tableColumn name="Notas" id="9"/>
    <tableColumn name="Fecha de ingreso" id="10"/>
    <tableColumn name="Fecha de egreso" id="11"/>
    <tableColumn name="valor del trabajo" id="12"/>
    <tableColumn name="costo" id="13"/>
    <tableColumn name="total venta" id="14"/>
    <tableColumn name="total costo" id="15"/>
    <tableColumn name="rendimiento" id="16"/>
  </tableColumns>
  <tableStyleInfo name="marzo-style" showColumnStripes="0" showFirstColumn="1" showLastColumn="1" showRowStripes="1"/>
</table>
</file>

<file path=xl/tables/table10.xml><?xml version="1.0" encoding="utf-8"?>
<table xmlns="http://schemas.openxmlformats.org/spreadsheetml/2006/main" ref="A1:P17" displayName="Trabajos_y_clientes_2" name="Trabajos_y_clientes_2" id="10">
  <tableColumns count="16">
    <tableColumn name="Nombre" id="1"/>
    <tableColumn name="tipo de cliente" id="2"/>
    <tableColumn name="Tipo de trabajo" id="3"/>
    <tableColumn name="Problema por el que se presenta" id="4"/>
    <tableColumn name="trabajo realizado" id="5"/>
    <tableColumn name="vehiculo" id="6"/>
    <tableColumn name="dominio" id="7"/>
    <tableColumn name="Teléfono" id="8"/>
    <tableColumn name="Notas" id="9"/>
    <tableColumn name="Fecha de ingreso" id="10"/>
    <tableColumn name="Fecha de egreso" id="11"/>
    <tableColumn name="valor del trabajo" id="12"/>
    <tableColumn name="costo" id="13"/>
    <tableColumn name="total venta" id="14"/>
    <tableColumn name="total costo" id="15"/>
    <tableColumn name="rendimiento" id="16"/>
  </tableColumns>
  <tableStyleInfo name="febre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7.63"/>
    <col customWidth="1" min="3" max="3" width="18.38"/>
    <col customWidth="1" min="4" max="5" width="31.0"/>
    <col customWidth="1" min="6" max="6" width="22.63"/>
    <col customWidth="1" min="7" max="7" width="15.25"/>
    <col customWidth="1" min="8" max="8" width="12.25"/>
    <col customWidth="1" min="9" max="9" width="22.63"/>
    <col customWidth="1" min="10" max="10" width="20.13"/>
    <col customWidth="1" min="11" max="11" width="17.5"/>
    <col customWidth="1" min="12" max="12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</row>
    <row r="2" ht="22.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6" t="s">
        <v>21</v>
      </c>
      <c r="G2" s="7"/>
      <c r="H2" s="8"/>
      <c r="I2" s="5" t="s">
        <v>22</v>
      </c>
      <c r="J2" s="9">
        <v>45568.0</v>
      </c>
      <c r="K2" s="10">
        <v>45568.0</v>
      </c>
      <c r="L2" s="11">
        <v>35000.0</v>
      </c>
      <c r="M2" s="11">
        <v>10000.0</v>
      </c>
      <c r="N2" s="12">
        <f t="shared" ref="N2:O2" si="1">SUM(L2:L25)</f>
        <v>865000</v>
      </c>
      <c r="O2" s="12">
        <f t="shared" si="1"/>
        <v>245000</v>
      </c>
      <c r="P2" s="12">
        <f>SUM(N2-O2)</f>
        <v>620000</v>
      </c>
    </row>
    <row r="3" ht="22.5" customHeight="1">
      <c r="A3" s="6" t="s">
        <v>23</v>
      </c>
      <c r="B3" s="5" t="s">
        <v>24</v>
      </c>
      <c r="C3" s="6" t="s">
        <v>18</v>
      </c>
      <c r="D3" s="5" t="s">
        <v>25</v>
      </c>
      <c r="E3" s="5" t="s">
        <v>26</v>
      </c>
      <c r="F3" s="6" t="s">
        <v>27</v>
      </c>
      <c r="G3" s="7"/>
      <c r="H3" s="8"/>
      <c r="I3" s="5" t="s">
        <v>28</v>
      </c>
      <c r="J3" s="9">
        <v>45577.0</v>
      </c>
      <c r="K3" s="10">
        <v>45577.0</v>
      </c>
      <c r="L3" s="11">
        <v>40000.0</v>
      </c>
      <c r="M3" s="11">
        <v>35000.0</v>
      </c>
      <c r="N3" s="13"/>
      <c r="O3" s="13"/>
      <c r="P3" s="13"/>
    </row>
    <row r="4" ht="22.5" customHeight="1">
      <c r="A4" s="6" t="s">
        <v>29</v>
      </c>
      <c r="B4" s="5" t="s">
        <v>24</v>
      </c>
      <c r="C4" s="6" t="s">
        <v>18</v>
      </c>
      <c r="D4" s="5" t="s">
        <v>30</v>
      </c>
      <c r="E4" s="5" t="s">
        <v>31</v>
      </c>
      <c r="F4" s="6" t="s">
        <v>32</v>
      </c>
      <c r="G4" s="7"/>
      <c r="H4" s="8"/>
      <c r="I4" s="5" t="s">
        <v>28</v>
      </c>
      <c r="J4" s="9">
        <v>45577.0</v>
      </c>
      <c r="K4" s="10">
        <v>45577.0</v>
      </c>
      <c r="L4" s="11">
        <v>60000.0</v>
      </c>
      <c r="M4" s="11">
        <v>25000.0</v>
      </c>
      <c r="N4" s="13"/>
      <c r="O4" s="13"/>
      <c r="P4" s="13"/>
    </row>
    <row r="5" ht="22.5" customHeight="1">
      <c r="A5" s="5" t="s">
        <v>33</v>
      </c>
      <c r="B5" s="5" t="s">
        <v>34</v>
      </c>
      <c r="C5" s="6" t="s">
        <v>18</v>
      </c>
      <c r="D5" s="5" t="s">
        <v>35</v>
      </c>
      <c r="E5" s="5" t="s">
        <v>36</v>
      </c>
      <c r="F5" s="6" t="s">
        <v>37</v>
      </c>
      <c r="G5" s="7"/>
      <c r="H5" s="8"/>
      <c r="I5" s="5" t="s">
        <v>38</v>
      </c>
      <c r="J5" s="10">
        <v>45584.0</v>
      </c>
      <c r="K5" s="9">
        <v>45615.0</v>
      </c>
      <c r="L5" s="11">
        <v>70000.0</v>
      </c>
      <c r="M5" s="11">
        <v>28000.0</v>
      </c>
      <c r="N5" s="13"/>
      <c r="O5" s="13"/>
      <c r="P5" s="13"/>
    </row>
    <row r="6" ht="22.5" customHeight="1">
      <c r="A6" s="5" t="s">
        <v>39</v>
      </c>
      <c r="B6" s="5" t="s">
        <v>40</v>
      </c>
      <c r="C6" s="6" t="s">
        <v>41</v>
      </c>
      <c r="D6" s="5" t="s">
        <v>42</v>
      </c>
      <c r="E6" s="5" t="s">
        <v>43</v>
      </c>
      <c r="F6" s="6" t="s">
        <v>44</v>
      </c>
      <c r="G6" s="7"/>
      <c r="H6" s="8"/>
      <c r="I6" s="5" t="s">
        <v>45</v>
      </c>
      <c r="J6" s="9">
        <v>45580.0</v>
      </c>
      <c r="K6" s="9">
        <v>45581.0</v>
      </c>
      <c r="L6" s="11">
        <v>50000.0</v>
      </c>
      <c r="M6" s="6">
        <v>0.0</v>
      </c>
      <c r="N6" s="13"/>
      <c r="O6" s="13"/>
      <c r="P6" s="13"/>
    </row>
    <row r="7" ht="22.5" customHeight="1">
      <c r="A7" s="5" t="s">
        <v>46</v>
      </c>
      <c r="B7" s="5" t="s">
        <v>40</v>
      </c>
      <c r="C7" s="5" t="s">
        <v>18</v>
      </c>
      <c r="D7" s="5" t="s">
        <v>47</v>
      </c>
      <c r="E7" s="5" t="s">
        <v>48</v>
      </c>
      <c r="F7" s="6" t="s">
        <v>49</v>
      </c>
      <c r="G7" s="7"/>
      <c r="H7" s="8"/>
      <c r="I7" s="5" t="s">
        <v>50</v>
      </c>
      <c r="J7" s="9">
        <v>45596.0</v>
      </c>
      <c r="K7" s="9">
        <v>45596.0</v>
      </c>
      <c r="L7" s="11">
        <v>60000.0</v>
      </c>
      <c r="M7" s="6">
        <v>12000.0</v>
      </c>
      <c r="N7" s="13"/>
      <c r="O7" s="13"/>
      <c r="P7" s="13"/>
    </row>
    <row r="8" ht="22.5" customHeight="1">
      <c r="A8" s="5" t="s">
        <v>51</v>
      </c>
      <c r="B8" s="5" t="s">
        <v>24</v>
      </c>
      <c r="C8" s="5" t="s">
        <v>18</v>
      </c>
      <c r="D8" s="5" t="s">
        <v>36</v>
      </c>
      <c r="E8" s="5" t="s">
        <v>52</v>
      </c>
      <c r="F8" s="6" t="s">
        <v>53</v>
      </c>
      <c r="G8" s="7"/>
      <c r="H8" s="8"/>
      <c r="I8" s="5" t="s">
        <v>54</v>
      </c>
      <c r="J8" s="9">
        <v>45598.0</v>
      </c>
      <c r="K8" s="9">
        <v>45598.0</v>
      </c>
      <c r="L8" s="11">
        <v>60000.0</v>
      </c>
      <c r="M8" s="6">
        <v>25000.0</v>
      </c>
      <c r="N8" s="13"/>
      <c r="O8" s="13"/>
      <c r="P8" s="13"/>
    </row>
    <row r="9" ht="22.5" customHeight="1">
      <c r="A9" s="5" t="s">
        <v>55</v>
      </c>
      <c r="B9" s="5" t="s">
        <v>56</v>
      </c>
      <c r="C9" s="5" t="s">
        <v>18</v>
      </c>
      <c r="D9" s="5" t="s">
        <v>57</v>
      </c>
      <c r="E9" s="5" t="s">
        <v>58</v>
      </c>
      <c r="F9" s="6" t="s">
        <v>59</v>
      </c>
      <c r="G9" s="7"/>
      <c r="H9" s="8"/>
      <c r="I9" s="5" t="s">
        <v>60</v>
      </c>
      <c r="J9" s="14">
        <v>45625.0</v>
      </c>
      <c r="K9" s="14">
        <v>45625.0</v>
      </c>
      <c r="L9" s="6">
        <v>45000.0</v>
      </c>
      <c r="M9" s="6">
        <v>0.0</v>
      </c>
      <c r="N9" s="7"/>
      <c r="O9" s="7"/>
      <c r="P9" s="7"/>
    </row>
    <row r="10" ht="22.5" customHeight="1">
      <c r="A10" s="5" t="s">
        <v>61</v>
      </c>
      <c r="B10" s="5" t="s">
        <v>62</v>
      </c>
      <c r="C10" s="5" t="s">
        <v>18</v>
      </c>
      <c r="D10" s="5" t="s">
        <v>63</v>
      </c>
      <c r="E10" s="5" t="s">
        <v>64</v>
      </c>
      <c r="F10" s="6" t="s">
        <v>65</v>
      </c>
      <c r="G10" s="7"/>
      <c r="H10" s="8"/>
      <c r="I10" s="8"/>
      <c r="J10" s="9">
        <v>45630.0</v>
      </c>
      <c r="K10" s="9">
        <v>45630.0</v>
      </c>
      <c r="L10" s="6">
        <v>40000.0</v>
      </c>
      <c r="M10" s="6">
        <v>10000.0</v>
      </c>
      <c r="N10" s="7"/>
      <c r="O10" s="7"/>
      <c r="P10" s="7"/>
    </row>
    <row r="11" ht="22.5" customHeight="1">
      <c r="A11" s="5" t="s">
        <v>66</v>
      </c>
      <c r="B11" s="5" t="s">
        <v>67</v>
      </c>
      <c r="C11" s="5" t="s">
        <v>68</v>
      </c>
      <c r="D11" s="5" t="s">
        <v>69</v>
      </c>
      <c r="E11" s="5" t="s">
        <v>70</v>
      </c>
      <c r="F11" s="6" t="s">
        <v>71</v>
      </c>
      <c r="G11" s="7"/>
      <c r="H11" s="8"/>
      <c r="I11" s="5" t="s">
        <v>72</v>
      </c>
      <c r="J11" s="9">
        <v>45637.0</v>
      </c>
      <c r="K11" s="9">
        <v>45637.0</v>
      </c>
      <c r="L11" s="15">
        <v>100000.0</v>
      </c>
      <c r="M11" s="6">
        <v>0.0</v>
      </c>
      <c r="N11" s="7"/>
      <c r="O11" s="7"/>
      <c r="P11" s="7"/>
    </row>
    <row r="12" ht="22.5" customHeight="1">
      <c r="A12" s="5" t="s">
        <v>73</v>
      </c>
      <c r="B12" s="5" t="s">
        <v>74</v>
      </c>
      <c r="C12" s="5" t="s">
        <v>68</v>
      </c>
      <c r="D12" s="5" t="s">
        <v>75</v>
      </c>
      <c r="E12" s="5" t="s">
        <v>76</v>
      </c>
      <c r="F12" s="6" t="s">
        <v>77</v>
      </c>
      <c r="G12" s="7"/>
      <c r="H12" s="8"/>
      <c r="I12" s="5" t="s">
        <v>78</v>
      </c>
      <c r="J12" s="9">
        <v>45639.0</v>
      </c>
      <c r="K12" s="9">
        <v>45643.0</v>
      </c>
      <c r="L12" s="6">
        <v>95000.0</v>
      </c>
      <c r="M12" s="6">
        <v>0.0</v>
      </c>
      <c r="N12" s="7"/>
      <c r="O12" s="7"/>
      <c r="P12" s="7"/>
    </row>
    <row r="13" ht="22.5" customHeight="1">
      <c r="A13" s="5" t="s">
        <v>79</v>
      </c>
      <c r="B13" s="5" t="s">
        <v>80</v>
      </c>
      <c r="C13" s="5" t="s">
        <v>81</v>
      </c>
      <c r="D13" s="5" t="s">
        <v>82</v>
      </c>
      <c r="E13" s="5" t="s">
        <v>83</v>
      </c>
      <c r="F13" s="7"/>
      <c r="G13" s="7"/>
      <c r="H13" s="8"/>
      <c r="I13" s="8"/>
      <c r="J13" s="7"/>
      <c r="K13" s="7"/>
      <c r="L13" s="7"/>
      <c r="M13" s="7"/>
      <c r="N13" s="7"/>
      <c r="O13" s="7"/>
      <c r="P13" s="7"/>
    </row>
    <row r="14" ht="22.5" customHeight="1">
      <c r="A14" s="5" t="s">
        <v>84</v>
      </c>
      <c r="B14" s="5" t="s">
        <v>85</v>
      </c>
      <c r="C14" s="5" t="s">
        <v>81</v>
      </c>
      <c r="D14" s="5" t="s">
        <v>86</v>
      </c>
      <c r="E14" s="5" t="s">
        <v>87</v>
      </c>
      <c r="F14" s="6" t="s">
        <v>88</v>
      </c>
      <c r="G14" s="7"/>
      <c r="H14" s="8"/>
      <c r="I14" s="8"/>
      <c r="J14" s="16">
        <v>45671.0</v>
      </c>
      <c r="K14" s="16">
        <v>45672.0</v>
      </c>
      <c r="L14" s="6">
        <v>210000.0</v>
      </c>
      <c r="M14" s="6">
        <v>100000.0</v>
      </c>
      <c r="N14" s="7"/>
      <c r="O14" s="7"/>
      <c r="P14" s="7"/>
    </row>
    <row r="15" ht="22.5" customHeight="1">
      <c r="A15" s="17"/>
      <c r="B15" s="17"/>
      <c r="C15" s="17"/>
      <c r="H15" s="17"/>
      <c r="I15" s="17"/>
      <c r="N15" s="7"/>
      <c r="O15" s="7"/>
      <c r="P15" s="7"/>
    </row>
    <row r="16" ht="22.5" customHeight="1">
      <c r="A16" s="8"/>
      <c r="B16" s="8"/>
      <c r="C16" s="8"/>
      <c r="D16" s="8"/>
      <c r="E16" s="8"/>
      <c r="F16" s="7"/>
      <c r="G16" s="7"/>
      <c r="H16" s="8"/>
      <c r="I16" s="8"/>
      <c r="J16" s="7"/>
      <c r="K16" s="7"/>
      <c r="L16" s="7"/>
      <c r="M16" s="7"/>
      <c r="N16" s="7"/>
      <c r="O16" s="7"/>
      <c r="P16" s="7"/>
    </row>
    <row r="17" ht="22.5" customHeight="1">
      <c r="A17" s="8"/>
      <c r="B17" s="8"/>
      <c r="C17" s="8"/>
      <c r="D17" s="8"/>
      <c r="E17" s="8"/>
      <c r="F17" s="7"/>
      <c r="G17" s="7"/>
      <c r="H17" s="8"/>
      <c r="I17" s="8"/>
      <c r="J17" s="7"/>
      <c r="K17" s="7"/>
      <c r="L17" s="7"/>
      <c r="M17" s="7"/>
      <c r="N17" s="7"/>
      <c r="O17" s="7"/>
      <c r="P17" s="7"/>
    </row>
  </sheetData>
  <conditionalFormatting sqref="J1">
    <cfRule type="timePeriod" dxfId="5" priority="1" timePeriod="today"/>
  </conditionalFormatting>
  <dataValidations>
    <dataValidation allowBlank="1" showDropDown="1" sqref="A2:C17 H2:I17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13"/>
    <col customWidth="1" min="2" max="2" width="19.13"/>
    <col customWidth="1" min="3" max="3" width="19.88"/>
    <col customWidth="1" min="4" max="4" width="22.63"/>
    <col customWidth="1" min="5" max="6" width="31.0"/>
    <col customWidth="1" min="7" max="7" width="15.25"/>
    <col customWidth="1" min="8" max="8" width="12.25"/>
    <col customWidth="1" min="9" max="9" width="22.63"/>
    <col customWidth="1" min="10" max="10" width="10.0"/>
    <col customWidth="1" min="11" max="11" width="13.25"/>
    <col customWidth="1" min="12" max="12" width="17.0"/>
    <col customWidth="1" min="17" max="17" width="14.88"/>
    <col customWidth="1" min="19" max="20" width="18.5"/>
    <col customWidth="1" min="21" max="21" width="2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18" t="s">
        <v>89</v>
      </c>
      <c r="S1" s="19" t="s">
        <v>90</v>
      </c>
      <c r="T1" s="19" t="s">
        <v>91</v>
      </c>
      <c r="U1" s="19" t="s">
        <v>92</v>
      </c>
      <c r="V1" s="20" t="s">
        <v>93</v>
      </c>
      <c r="W1" s="20" t="s">
        <v>94</v>
      </c>
    </row>
    <row r="2" ht="22.5" customHeight="1">
      <c r="A2" s="6" t="s">
        <v>95</v>
      </c>
      <c r="B2" s="21" t="s">
        <v>96</v>
      </c>
      <c r="C2" s="22" t="s">
        <v>18</v>
      </c>
      <c r="D2" s="6" t="s">
        <v>97</v>
      </c>
      <c r="E2" s="5" t="s">
        <v>98</v>
      </c>
      <c r="F2" s="5" t="s">
        <v>99</v>
      </c>
      <c r="G2" s="7"/>
      <c r="H2" s="8"/>
      <c r="I2" s="5"/>
      <c r="J2" s="23"/>
      <c r="K2" s="23"/>
      <c r="L2" s="11">
        <v>250000.0</v>
      </c>
      <c r="M2" s="11">
        <v>15000.0</v>
      </c>
      <c r="N2" s="12">
        <f>SUM(Trabajos_y_clientes_10[valor del trabajo])</f>
        <v>2380000</v>
      </c>
      <c r="O2" s="12">
        <f>SUM(Trabajos_y_clientes_10[costo])</f>
        <v>313100</v>
      </c>
      <c r="P2" s="12">
        <f>SUM(N2-O2)</f>
        <v>2066900</v>
      </c>
      <c r="Q2" s="22" t="s">
        <v>100</v>
      </c>
      <c r="S2" s="19" t="s">
        <v>101</v>
      </c>
      <c r="T2" s="19" t="s">
        <v>102</v>
      </c>
      <c r="U2" s="19" t="s">
        <v>103</v>
      </c>
      <c r="V2" s="20">
        <v>83250.0</v>
      </c>
      <c r="W2" s="24">
        <f>SUM(V2:V34)</f>
        <v>1747935</v>
      </c>
    </row>
    <row r="3" ht="22.5" customHeight="1">
      <c r="A3" s="6" t="s">
        <v>104</v>
      </c>
      <c r="B3" s="21" t="s">
        <v>105</v>
      </c>
      <c r="C3" s="22" t="s">
        <v>106</v>
      </c>
      <c r="D3" s="6" t="s">
        <v>107</v>
      </c>
      <c r="E3" s="5" t="s">
        <v>108</v>
      </c>
      <c r="F3" s="5" t="s">
        <v>109</v>
      </c>
      <c r="G3" s="7"/>
      <c r="H3" s="8"/>
      <c r="I3" s="5"/>
      <c r="J3" s="23"/>
      <c r="K3" s="23"/>
      <c r="L3" s="11">
        <v>180000.0</v>
      </c>
      <c r="M3" s="11">
        <v>0.0</v>
      </c>
      <c r="N3" s="7"/>
      <c r="O3" s="7"/>
      <c r="P3" s="13"/>
      <c r="Q3" s="22" t="s">
        <v>100</v>
      </c>
      <c r="S3" s="19" t="s">
        <v>101</v>
      </c>
      <c r="T3" s="19" t="s">
        <v>110</v>
      </c>
      <c r="U3" s="19" t="s">
        <v>111</v>
      </c>
      <c r="V3" s="20">
        <v>50000.0</v>
      </c>
      <c r="W3" s="24"/>
    </row>
    <row r="4" ht="22.5" customHeight="1">
      <c r="A4" s="5" t="s">
        <v>112</v>
      </c>
      <c r="B4" s="6" t="s">
        <v>105</v>
      </c>
      <c r="C4" s="22" t="s">
        <v>106</v>
      </c>
      <c r="D4" s="6" t="s">
        <v>113</v>
      </c>
      <c r="E4" s="5" t="s">
        <v>114</v>
      </c>
      <c r="F4" s="5" t="s">
        <v>115</v>
      </c>
      <c r="G4" s="7"/>
      <c r="H4" s="5"/>
      <c r="I4" s="5" t="s">
        <v>116</v>
      </c>
      <c r="J4" s="23"/>
      <c r="K4" s="23"/>
      <c r="L4" s="11">
        <v>120000.0</v>
      </c>
      <c r="M4" s="11">
        <v>0.0</v>
      </c>
      <c r="N4" s="7"/>
      <c r="O4" s="7"/>
      <c r="P4" s="13"/>
      <c r="Q4" s="22" t="s">
        <v>100</v>
      </c>
      <c r="S4" s="19" t="s">
        <v>101</v>
      </c>
      <c r="T4" s="19" t="s">
        <v>117</v>
      </c>
      <c r="U4" s="19" t="s">
        <v>118</v>
      </c>
      <c r="V4" s="20">
        <v>40000.0</v>
      </c>
      <c r="W4" s="24"/>
    </row>
    <row r="5" ht="22.5" customHeight="1">
      <c r="A5" s="5" t="s">
        <v>95</v>
      </c>
      <c r="B5" s="6" t="s">
        <v>96</v>
      </c>
      <c r="C5" s="22" t="s">
        <v>106</v>
      </c>
      <c r="D5" s="6" t="s">
        <v>119</v>
      </c>
      <c r="E5" s="5" t="s">
        <v>120</v>
      </c>
      <c r="F5" s="5" t="s">
        <v>121</v>
      </c>
      <c r="G5" s="7"/>
      <c r="H5" s="8"/>
      <c r="I5" s="5"/>
      <c r="J5" s="23"/>
      <c r="K5" s="23"/>
      <c r="L5" s="11">
        <v>90000.0</v>
      </c>
      <c r="M5" s="6">
        <v>0.0</v>
      </c>
      <c r="N5" s="7"/>
      <c r="O5" s="7"/>
      <c r="P5" s="13"/>
      <c r="Q5" s="22" t="s">
        <v>100</v>
      </c>
      <c r="S5" s="19" t="s">
        <v>101</v>
      </c>
      <c r="T5" s="19" t="s">
        <v>122</v>
      </c>
      <c r="U5" s="19" t="s">
        <v>123</v>
      </c>
      <c r="V5" s="20">
        <v>380000.0</v>
      </c>
      <c r="W5" s="24"/>
    </row>
    <row r="6" ht="22.5" customHeight="1">
      <c r="A6" s="5" t="s">
        <v>124</v>
      </c>
      <c r="B6" s="6" t="s">
        <v>105</v>
      </c>
      <c r="C6" s="25" t="s">
        <v>106</v>
      </c>
      <c r="D6" s="6" t="s">
        <v>125</v>
      </c>
      <c r="E6" s="5" t="s">
        <v>114</v>
      </c>
      <c r="F6" s="5" t="s">
        <v>126</v>
      </c>
      <c r="G6" s="7"/>
      <c r="H6" s="8"/>
      <c r="I6" s="5"/>
      <c r="J6" s="23"/>
      <c r="K6" s="23"/>
      <c r="L6" s="11">
        <v>60000.0</v>
      </c>
      <c r="M6" s="6">
        <v>0.0</v>
      </c>
      <c r="N6" s="7"/>
      <c r="O6" s="7"/>
      <c r="P6" s="13"/>
      <c r="Q6" s="22" t="s">
        <v>100</v>
      </c>
      <c r="S6" s="19" t="s">
        <v>127</v>
      </c>
      <c r="T6" s="19" t="s">
        <v>110</v>
      </c>
      <c r="U6" s="19" t="s">
        <v>128</v>
      </c>
      <c r="V6" s="20">
        <v>12500.0</v>
      </c>
      <c r="W6" s="24"/>
    </row>
    <row r="7" ht="22.5" customHeight="1">
      <c r="A7" s="5" t="s">
        <v>129</v>
      </c>
      <c r="B7" s="21" t="s">
        <v>130</v>
      </c>
      <c r="C7" s="22" t="s">
        <v>106</v>
      </c>
      <c r="D7" s="6" t="s">
        <v>131</v>
      </c>
      <c r="E7" s="5" t="s">
        <v>98</v>
      </c>
      <c r="F7" s="5" t="s">
        <v>132</v>
      </c>
      <c r="G7" s="7"/>
      <c r="H7" s="8"/>
      <c r="I7" s="5" t="s">
        <v>133</v>
      </c>
      <c r="J7" s="23"/>
      <c r="K7" s="23"/>
      <c r="L7" s="11">
        <v>210000.0</v>
      </c>
      <c r="M7" s="6">
        <v>15000.0</v>
      </c>
      <c r="N7" s="7"/>
      <c r="O7" s="7"/>
      <c r="P7" s="13"/>
      <c r="Q7" s="22" t="s">
        <v>100</v>
      </c>
      <c r="S7" s="19" t="s">
        <v>127</v>
      </c>
      <c r="T7" s="19" t="s">
        <v>110</v>
      </c>
      <c r="U7" s="19" t="s">
        <v>128</v>
      </c>
      <c r="V7" s="20">
        <v>12600.0</v>
      </c>
      <c r="W7" s="24"/>
    </row>
    <row r="8" ht="22.5" customHeight="1">
      <c r="A8" s="5" t="s">
        <v>134</v>
      </c>
      <c r="B8" s="21" t="s">
        <v>96</v>
      </c>
      <c r="C8" s="22" t="s">
        <v>106</v>
      </c>
      <c r="D8" s="6" t="s">
        <v>125</v>
      </c>
      <c r="E8" s="5" t="s">
        <v>135</v>
      </c>
      <c r="F8" s="5" t="s">
        <v>136</v>
      </c>
      <c r="G8" s="7"/>
      <c r="H8" s="8"/>
      <c r="I8" s="5"/>
      <c r="J8" s="23"/>
      <c r="K8" s="23"/>
      <c r="L8" s="6">
        <v>50000.0</v>
      </c>
      <c r="M8" s="6">
        <v>0.0</v>
      </c>
      <c r="N8" s="7"/>
      <c r="P8" s="7"/>
      <c r="Q8" s="22" t="s">
        <v>100</v>
      </c>
      <c r="S8" s="19" t="s">
        <v>127</v>
      </c>
      <c r="T8" s="19" t="s">
        <v>110</v>
      </c>
      <c r="U8" s="19" t="s">
        <v>137</v>
      </c>
      <c r="V8" s="20">
        <v>14000.0</v>
      </c>
      <c r="W8" s="24"/>
    </row>
    <row r="9" ht="22.5" customHeight="1">
      <c r="A9" s="5" t="s">
        <v>138</v>
      </c>
      <c r="B9" s="21" t="s">
        <v>105</v>
      </c>
      <c r="C9" s="22" t="s">
        <v>106</v>
      </c>
      <c r="D9" s="6" t="s">
        <v>139</v>
      </c>
      <c r="E9" s="5" t="s">
        <v>140</v>
      </c>
      <c r="F9" s="5" t="s">
        <v>141</v>
      </c>
      <c r="G9" s="7"/>
      <c r="H9" s="8"/>
      <c r="I9" s="5" t="s">
        <v>142</v>
      </c>
      <c r="J9" s="23"/>
      <c r="K9" s="23"/>
      <c r="L9" s="6">
        <v>140000.0</v>
      </c>
      <c r="M9" s="6">
        <v>90000.0</v>
      </c>
      <c r="N9" s="7"/>
      <c r="O9" s="7"/>
      <c r="P9" s="7"/>
      <c r="Q9" s="22" t="s">
        <v>100</v>
      </c>
      <c r="S9" s="19" t="s">
        <v>101</v>
      </c>
      <c r="T9" s="19" t="s">
        <v>110</v>
      </c>
      <c r="U9" s="19" t="s">
        <v>143</v>
      </c>
      <c r="V9" s="20">
        <v>47030.0</v>
      </c>
      <c r="W9" s="24"/>
    </row>
    <row r="10" ht="22.5" customHeight="1">
      <c r="A10" s="5" t="s">
        <v>144</v>
      </c>
      <c r="B10" s="21" t="s">
        <v>105</v>
      </c>
      <c r="C10" s="22" t="s">
        <v>106</v>
      </c>
      <c r="D10" s="6" t="s">
        <v>145</v>
      </c>
      <c r="E10" s="5" t="s">
        <v>146</v>
      </c>
      <c r="F10" s="5" t="s">
        <v>147</v>
      </c>
      <c r="G10" s="7"/>
      <c r="H10" s="8"/>
      <c r="I10" s="5" t="s">
        <v>148</v>
      </c>
      <c r="J10" s="23"/>
      <c r="K10" s="23"/>
      <c r="L10" s="15">
        <v>120000.0</v>
      </c>
      <c r="M10" s="6">
        <v>0.0</v>
      </c>
      <c r="N10" s="7"/>
      <c r="O10" s="7"/>
      <c r="P10" s="7"/>
      <c r="Q10" s="22" t="s">
        <v>100</v>
      </c>
      <c r="S10" s="19" t="s">
        <v>101</v>
      </c>
      <c r="T10" s="19" t="s">
        <v>149</v>
      </c>
      <c r="U10" s="19" t="s">
        <v>150</v>
      </c>
      <c r="V10" s="20">
        <v>105455.0</v>
      </c>
      <c r="W10" s="24"/>
    </row>
    <row r="11" ht="22.5" customHeight="1">
      <c r="A11" s="5" t="s">
        <v>151</v>
      </c>
      <c r="B11" s="21" t="s">
        <v>105</v>
      </c>
      <c r="C11" s="22" t="s">
        <v>18</v>
      </c>
      <c r="D11" s="6" t="s">
        <v>152</v>
      </c>
      <c r="E11" s="5"/>
      <c r="F11" s="5" t="s">
        <v>153</v>
      </c>
      <c r="G11" s="7"/>
      <c r="H11" s="8"/>
      <c r="I11" s="5"/>
      <c r="J11" s="23"/>
      <c r="K11" s="23"/>
      <c r="L11" s="6">
        <v>70000.0</v>
      </c>
      <c r="M11" s="6">
        <v>10000.0</v>
      </c>
      <c r="N11" s="7"/>
      <c r="O11" s="7"/>
      <c r="P11" s="7"/>
      <c r="Q11" s="22" t="s">
        <v>100</v>
      </c>
      <c r="S11" s="19" t="s">
        <v>101</v>
      </c>
      <c r="T11" s="19" t="s">
        <v>149</v>
      </c>
      <c r="U11" s="19" t="s">
        <v>154</v>
      </c>
      <c r="V11" s="20">
        <v>190000.0</v>
      </c>
      <c r="W11" s="24"/>
    </row>
    <row r="12" ht="22.5" customHeight="1">
      <c r="A12" s="5" t="s">
        <v>155</v>
      </c>
      <c r="B12" s="21" t="s">
        <v>96</v>
      </c>
      <c r="C12" s="22" t="s">
        <v>106</v>
      </c>
      <c r="D12" s="6" t="s">
        <v>156</v>
      </c>
      <c r="E12" s="5" t="s">
        <v>98</v>
      </c>
      <c r="F12" s="5" t="s">
        <v>157</v>
      </c>
      <c r="G12" s="7"/>
      <c r="H12" s="8"/>
      <c r="I12" s="5"/>
      <c r="J12" s="23"/>
      <c r="K12" s="23"/>
      <c r="L12" s="6">
        <v>90000.0</v>
      </c>
      <c r="M12" s="6"/>
      <c r="N12" s="7"/>
      <c r="O12" s="7"/>
      <c r="P12" s="7"/>
      <c r="Q12" s="22" t="s">
        <v>100</v>
      </c>
      <c r="S12" s="19" t="s">
        <v>127</v>
      </c>
      <c r="T12" s="19" t="s">
        <v>122</v>
      </c>
      <c r="U12" s="19" t="s">
        <v>158</v>
      </c>
      <c r="V12" s="20">
        <v>22000.0</v>
      </c>
      <c r="W12" s="24"/>
    </row>
    <row r="13" ht="22.5" customHeight="1">
      <c r="A13" s="5" t="s">
        <v>129</v>
      </c>
      <c r="B13" s="21" t="s">
        <v>130</v>
      </c>
      <c r="C13" s="22" t="s">
        <v>18</v>
      </c>
      <c r="D13" s="6" t="s">
        <v>159</v>
      </c>
      <c r="E13" s="5"/>
      <c r="F13" s="5" t="s">
        <v>160</v>
      </c>
      <c r="G13" s="7"/>
      <c r="H13" s="8"/>
      <c r="I13" s="5"/>
      <c r="J13" s="23"/>
      <c r="K13" s="23"/>
      <c r="L13" s="6">
        <v>80000.0</v>
      </c>
      <c r="M13" s="6">
        <v>35000.0</v>
      </c>
      <c r="N13" s="7"/>
      <c r="O13" s="7"/>
      <c r="P13" s="7"/>
      <c r="Q13" s="22" t="s">
        <v>161</v>
      </c>
      <c r="S13" s="19" t="s">
        <v>127</v>
      </c>
      <c r="T13" s="19" t="s">
        <v>122</v>
      </c>
      <c r="U13" s="19" t="s">
        <v>162</v>
      </c>
      <c r="V13" s="20">
        <v>21500.0</v>
      </c>
      <c r="W13" s="24"/>
    </row>
    <row r="14" ht="22.5" customHeight="1">
      <c r="A14" s="5" t="s">
        <v>163</v>
      </c>
      <c r="B14" s="21" t="s">
        <v>96</v>
      </c>
      <c r="C14" s="22" t="s">
        <v>106</v>
      </c>
      <c r="D14" s="6" t="s">
        <v>164</v>
      </c>
      <c r="E14" s="5" t="s">
        <v>165</v>
      </c>
      <c r="F14" s="5" t="s">
        <v>166</v>
      </c>
      <c r="G14" s="7"/>
      <c r="H14" s="8"/>
      <c r="I14" s="5"/>
      <c r="J14" s="23"/>
      <c r="K14" s="23"/>
      <c r="L14" s="6">
        <v>120000.0</v>
      </c>
      <c r="M14" s="6">
        <v>0.0</v>
      </c>
      <c r="N14" s="7"/>
      <c r="O14" s="7"/>
      <c r="P14" s="7"/>
      <c r="Q14" s="22" t="s">
        <v>161</v>
      </c>
      <c r="S14" s="19" t="s">
        <v>127</v>
      </c>
      <c r="T14" s="19" t="s">
        <v>122</v>
      </c>
      <c r="U14" s="19" t="s">
        <v>167</v>
      </c>
      <c r="V14" s="20">
        <v>1000.0</v>
      </c>
      <c r="W14" s="24"/>
    </row>
    <row r="15" ht="22.5" customHeight="1">
      <c r="A15" s="5" t="s">
        <v>168</v>
      </c>
      <c r="B15" s="21" t="s">
        <v>105</v>
      </c>
      <c r="C15" s="22" t="s">
        <v>106</v>
      </c>
      <c r="D15" s="6" t="s">
        <v>169</v>
      </c>
      <c r="E15" s="5" t="s">
        <v>170</v>
      </c>
      <c r="F15" s="5" t="s">
        <v>171</v>
      </c>
      <c r="G15" s="7"/>
      <c r="H15" s="8"/>
      <c r="I15" s="5"/>
      <c r="J15" s="23"/>
      <c r="K15" s="23"/>
      <c r="L15" s="6">
        <v>50000.0</v>
      </c>
      <c r="M15" s="6"/>
      <c r="N15" s="7"/>
      <c r="O15" s="7"/>
      <c r="P15" s="7"/>
      <c r="Q15" s="22" t="s">
        <v>100</v>
      </c>
      <c r="S15" s="19" t="s">
        <v>127</v>
      </c>
      <c r="T15" s="19" t="s">
        <v>110</v>
      </c>
      <c r="U15" s="19" t="s">
        <v>172</v>
      </c>
      <c r="V15" s="20">
        <v>11500.0</v>
      </c>
      <c r="W15" s="24"/>
    </row>
    <row r="16" ht="22.5" customHeight="1">
      <c r="A16" s="5" t="s">
        <v>173</v>
      </c>
      <c r="B16" s="21" t="s">
        <v>105</v>
      </c>
      <c r="C16" s="22" t="s">
        <v>106</v>
      </c>
      <c r="D16" s="6" t="s">
        <v>174</v>
      </c>
      <c r="E16" s="5" t="s">
        <v>175</v>
      </c>
      <c r="F16" s="5" t="s">
        <v>176</v>
      </c>
      <c r="G16" s="7"/>
      <c r="H16" s="8"/>
      <c r="I16" s="8"/>
      <c r="J16" s="23"/>
      <c r="K16" s="23"/>
      <c r="L16" s="6">
        <v>30000.0</v>
      </c>
      <c r="M16" s="6">
        <v>0.0</v>
      </c>
      <c r="N16" s="7"/>
      <c r="O16" s="7"/>
      <c r="P16" s="7"/>
      <c r="Q16" s="22" t="s">
        <v>100</v>
      </c>
      <c r="S16" s="19" t="s">
        <v>127</v>
      </c>
      <c r="T16" s="19" t="s">
        <v>149</v>
      </c>
      <c r="U16" s="19" t="s">
        <v>177</v>
      </c>
      <c r="V16" s="20">
        <v>370000.0</v>
      </c>
      <c r="W16" s="24"/>
    </row>
    <row r="17" ht="22.5" customHeight="1">
      <c r="A17" s="5" t="s">
        <v>178</v>
      </c>
      <c r="B17" s="6" t="s">
        <v>130</v>
      </c>
      <c r="C17" s="22" t="s">
        <v>18</v>
      </c>
      <c r="D17" s="6" t="s">
        <v>97</v>
      </c>
      <c r="E17" s="5" t="s">
        <v>179</v>
      </c>
      <c r="F17" s="5" t="s">
        <v>153</v>
      </c>
      <c r="G17" s="7"/>
      <c r="H17" s="8"/>
      <c r="I17" s="8"/>
      <c r="J17" s="23"/>
      <c r="K17" s="23"/>
      <c r="L17" s="6">
        <v>40000.0</v>
      </c>
      <c r="M17" s="6">
        <v>10000.0</v>
      </c>
      <c r="N17" s="7"/>
      <c r="O17" s="7"/>
      <c r="P17" s="7"/>
      <c r="Q17" s="22" t="s">
        <v>100</v>
      </c>
      <c r="S17" s="19" t="s">
        <v>101</v>
      </c>
      <c r="T17" s="19" t="s">
        <v>122</v>
      </c>
      <c r="U17" s="19" t="s">
        <v>180</v>
      </c>
      <c r="V17" s="20">
        <v>64300.0</v>
      </c>
      <c r="W17" s="24"/>
    </row>
    <row r="18" ht="22.5" customHeight="1">
      <c r="A18" s="5" t="s">
        <v>181</v>
      </c>
      <c r="B18" s="21" t="s">
        <v>105</v>
      </c>
      <c r="C18" s="22" t="s">
        <v>106</v>
      </c>
      <c r="D18" s="6" t="s">
        <v>182</v>
      </c>
      <c r="E18" s="5" t="s">
        <v>183</v>
      </c>
      <c r="F18" s="5" t="s">
        <v>184</v>
      </c>
      <c r="G18" s="7"/>
      <c r="H18" s="8"/>
      <c r="I18" s="5" t="s">
        <v>185</v>
      </c>
      <c r="J18" s="23"/>
      <c r="K18" s="23"/>
      <c r="L18" s="6">
        <v>90000.0</v>
      </c>
      <c r="M18" s="6">
        <v>3000.0</v>
      </c>
      <c r="N18" s="7"/>
      <c r="O18" s="7"/>
      <c r="P18" s="7"/>
      <c r="Q18" s="22" t="s">
        <v>100</v>
      </c>
      <c r="S18" s="19" t="s">
        <v>127</v>
      </c>
      <c r="T18" s="19" t="s">
        <v>117</v>
      </c>
      <c r="U18" s="19" t="s">
        <v>186</v>
      </c>
      <c r="V18" s="20">
        <v>3500.0</v>
      </c>
      <c r="W18" s="24"/>
    </row>
    <row r="19" ht="22.5" customHeight="1">
      <c r="A19" s="5" t="s">
        <v>187</v>
      </c>
      <c r="B19" s="21" t="s">
        <v>105</v>
      </c>
      <c r="C19" s="22" t="s">
        <v>106</v>
      </c>
      <c r="D19" s="6" t="s">
        <v>188</v>
      </c>
      <c r="E19" s="5" t="s">
        <v>189</v>
      </c>
      <c r="F19" s="5" t="s">
        <v>190</v>
      </c>
      <c r="G19" s="7"/>
      <c r="H19" s="8"/>
      <c r="I19" s="8"/>
      <c r="J19" s="23"/>
      <c r="K19" s="23"/>
      <c r="L19" s="6">
        <v>80000.0</v>
      </c>
      <c r="M19" s="6">
        <v>0.0</v>
      </c>
      <c r="N19" s="7"/>
      <c r="O19" s="7"/>
      <c r="P19" s="7"/>
      <c r="Q19" s="22" t="s">
        <v>100</v>
      </c>
      <c r="S19" s="19" t="s">
        <v>127</v>
      </c>
      <c r="T19" s="19" t="s">
        <v>122</v>
      </c>
      <c r="U19" s="19" t="s">
        <v>191</v>
      </c>
      <c r="V19" s="20">
        <v>48000.0</v>
      </c>
      <c r="W19" s="24"/>
    </row>
    <row r="20" ht="22.5" customHeight="1">
      <c r="A20" s="26" t="s">
        <v>192</v>
      </c>
      <c r="B20" s="21" t="s">
        <v>96</v>
      </c>
      <c r="C20" s="22" t="s">
        <v>106</v>
      </c>
      <c r="D20" s="6" t="s">
        <v>193</v>
      </c>
      <c r="E20" s="5" t="s">
        <v>194</v>
      </c>
      <c r="F20" s="5" t="s">
        <v>195</v>
      </c>
      <c r="G20" s="7"/>
      <c r="H20" s="8"/>
      <c r="I20" s="5"/>
      <c r="J20" s="23"/>
      <c r="K20" s="23"/>
      <c r="L20" s="6">
        <v>30000.0</v>
      </c>
      <c r="M20" s="6"/>
      <c r="N20" s="7"/>
      <c r="O20" s="7"/>
      <c r="P20" s="7"/>
      <c r="Q20" s="22" t="s">
        <v>100</v>
      </c>
      <c r="S20" s="19" t="s">
        <v>127</v>
      </c>
      <c r="T20" s="19" t="s">
        <v>122</v>
      </c>
      <c r="U20" s="19" t="s">
        <v>196</v>
      </c>
      <c r="V20" s="20">
        <v>11000.0</v>
      </c>
      <c r="W20" s="24"/>
    </row>
    <row r="21" ht="22.5" customHeight="1">
      <c r="A21" s="5" t="s">
        <v>134</v>
      </c>
      <c r="B21" s="21" t="s">
        <v>96</v>
      </c>
      <c r="C21" s="22" t="s">
        <v>106</v>
      </c>
      <c r="D21" s="6" t="s">
        <v>197</v>
      </c>
      <c r="E21" s="5" t="s">
        <v>198</v>
      </c>
      <c r="F21" s="5" t="s">
        <v>199</v>
      </c>
      <c r="G21" s="7"/>
      <c r="H21" s="8"/>
      <c r="I21" s="5"/>
      <c r="J21" s="23"/>
      <c r="K21" s="23"/>
      <c r="L21" s="6">
        <v>80000.0</v>
      </c>
      <c r="M21" s="6">
        <v>0.0</v>
      </c>
      <c r="N21" s="7"/>
      <c r="O21" s="7"/>
      <c r="P21" s="7"/>
      <c r="Q21" s="22" t="s">
        <v>100</v>
      </c>
      <c r="S21" s="27"/>
      <c r="T21" s="27"/>
      <c r="V21" s="20"/>
      <c r="W21" s="24"/>
    </row>
    <row r="22" ht="22.5" customHeight="1">
      <c r="A22" s="5" t="s">
        <v>200</v>
      </c>
      <c r="B22" s="21" t="s">
        <v>96</v>
      </c>
      <c r="C22" s="22" t="s">
        <v>106</v>
      </c>
      <c r="D22" s="6" t="s">
        <v>201</v>
      </c>
      <c r="E22" s="5" t="s">
        <v>165</v>
      </c>
      <c r="F22" s="5"/>
      <c r="G22" s="7"/>
      <c r="H22" s="8"/>
      <c r="I22" s="5"/>
      <c r="J22" s="23"/>
      <c r="K22" s="23"/>
      <c r="L22" s="6">
        <v>300000.0</v>
      </c>
      <c r="M22" s="6">
        <v>120000.0</v>
      </c>
      <c r="N22" s="7"/>
      <c r="O22" s="7"/>
      <c r="P22" s="7"/>
      <c r="Q22" s="22" t="s">
        <v>100</v>
      </c>
      <c r="S22" s="19" t="s">
        <v>127</v>
      </c>
      <c r="T22" s="19" t="s">
        <v>122</v>
      </c>
      <c r="U22" s="19" t="s">
        <v>202</v>
      </c>
      <c r="V22" s="20">
        <v>8600.0</v>
      </c>
      <c r="W22" s="24"/>
    </row>
    <row r="23" ht="22.5" customHeight="1">
      <c r="A23" s="5" t="s">
        <v>203</v>
      </c>
      <c r="B23" s="21" t="s">
        <v>96</v>
      </c>
      <c r="C23" s="22" t="s">
        <v>18</v>
      </c>
      <c r="D23" s="6" t="s">
        <v>204</v>
      </c>
      <c r="E23" s="5" t="s">
        <v>205</v>
      </c>
      <c r="F23" s="5" t="s">
        <v>206</v>
      </c>
      <c r="G23" s="7"/>
      <c r="H23" s="8"/>
      <c r="I23" s="8"/>
      <c r="J23" s="23"/>
      <c r="K23" s="23"/>
      <c r="L23" s="6">
        <v>70000.0</v>
      </c>
      <c r="M23" s="6">
        <v>15000.0</v>
      </c>
      <c r="N23" s="7"/>
      <c r="O23" s="7"/>
      <c r="P23" s="7"/>
      <c r="Q23" s="22" t="s">
        <v>100</v>
      </c>
      <c r="S23" s="19" t="s">
        <v>127</v>
      </c>
      <c r="T23" s="19" t="s">
        <v>122</v>
      </c>
      <c r="U23" s="19" t="s">
        <v>207</v>
      </c>
      <c r="V23" s="20">
        <v>7500.0</v>
      </c>
      <c r="W23" s="24"/>
    </row>
    <row r="24" ht="22.5" customHeight="1">
      <c r="A24" s="5" t="s">
        <v>208</v>
      </c>
      <c r="B24" s="21" t="s">
        <v>105</v>
      </c>
      <c r="C24" s="22" t="s">
        <v>106</v>
      </c>
      <c r="D24" s="6" t="s">
        <v>209</v>
      </c>
      <c r="E24" s="5" t="s">
        <v>98</v>
      </c>
      <c r="F24" s="5" t="s">
        <v>210</v>
      </c>
      <c r="G24" s="7"/>
      <c r="H24" s="8"/>
      <c r="I24" s="8"/>
      <c r="J24" s="23"/>
      <c r="K24" s="23"/>
      <c r="L24" s="6">
        <v>30000.0</v>
      </c>
      <c r="M24" s="6">
        <v>100.0</v>
      </c>
      <c r="N24" s="7"/>
      <c r="O24" s="7"/>
      <c r="P24" s="7"/>
      <c r="Q24" s="22" t="s">
        <v>100</v>
      </c>
      <c r="S24" s="19" t="s">
        <v>101</v>
      </c>
      <c r="T24" s="19" t="s">
        <v>117</v>
      </c>
      <c r="U24" s="19" t="s">
        <v>211</v>
      </c>
      <c r="V24" s="20">
        <v>61800.0</v>
      </c>
      <c r="W24" s="24"/>
    </row>
    <row r="25" ht="22.5" customHeight="1">
      <c r="A25" s="5"/>
      <c r="B25" s="21"/>
      <c r="C25" s="22"/>
      <c r="D25" s="6"/>
      <c r="E25" s="5"/>
      <c r="F25" s="5"/>
      <c r="G25" s="7"/>
      <c r="H25" s="8"/>
      <c r="I25" s="8"/>
      <c r="J25" s="23"/>
      <c r="K25" s="23"/>
      <c r="L25" s="6"/>
      <c r="M25" s="6"/>
      <c r="N25" s="7"/>
      <c r="O25" s="7"/>
      <c r="P25" s="7"/>
      <c r="Q25" s="22" t="s">
        <v>100</v>
      </c>
      <c r="S25" s="19" t="s">
        <v>101</v>
      </c>
      <c r="T25" s="19" t="s">
        <v>122</v>
      </c>
      <c r="U25" s="19" t="s">
        <v>212</v>
      </c>
      <c r="V25" s="20">
        <v>82900.0</v>
      </c>
      <c r="W25" s="24"/>
    </row>
    <row r="26" ht="22.5" customHeight="1">
      <c r="A26" s="5"/>
      <c r="B26" s="21"/>
      <c r="C26" s="22"/>
      <c r="D26" s="6"/>
      <c r="E26" s="5"/>
      <c r="F26" s="5"/>
      <c r="G26" s="7"/>
      <c r="H26" s="8"/>
      <c r="I26" s="5"/>
      <c r="J26" s="23"/>
      <c r="K26" s="23"/>
      <c r="L26" s="6"/>
      <c r="M26" s="6"/>
      <c r="N26" s="7"/>
      <c r="O26" s="7"/>
      <c r="P26" s="7"/>
      <c r="Q26" s="22" t="s">
        <v>100</v>
      </c>
      <c r="S26" s="19" t="s">
        <v>213</v>
      </c>
      <c r="T26" s="19" t="s">
        <v>117</v>
      </c>
      <c r="U26" s="19" t="s">
        <v>214</v>
      </c>
      <c r="V26" s="20"/>
      <c r="W26" s="20">
        <v>81150.0</v>
      </c>
    </row>
    <row r="27" ht="22.5" customHeight="1">
      <c r="A27" s="5"/>
      <c r="B27" s="21"/>
      <c r="C27" s="28"/>
      <c r="D27" s="6"/>
      <c r="E27" s="5"/>
      <c r="F27" s="5"/>
      <c r="G27" s="7"/>
      <c r="H27" s="8"/>
      <c r="I27" s="8"/>
      <c r="J27" s="23"/>
      <c r="K27" s="23"/>
      <c r="L27" s="6"/>
      <c r="M27" s="6"/>
      <c r="N27" s="7"/>
      <c r="O27" s="7"/>
      <c r="P27" s="7"/>
      <c r="Q27" s="22" t="s">
        <v>100</v>
      </c>
      <c r="S27" s="19" t="s">
        <v>127</v>
      </c>
      <c r="T27" s="19" t="s">
        <v>122</v>
      </c>
      <c r="U27" s="19" t="s">
        <v>207</v>
      </c>
      <c r="V27" s="20">
        <v>15000.0</v>
      </c>
      <c r="W27" s="24"/>
    </row>
    <row r="28" ht="22.5" customHeight="1">
      <c r="A28" s="5"/>
      <c r="B28" s="21"/>
      <c r="C28" s="28"/>
      <c r="E28" s="5"/>
      <c r="F28" s="5"/>
      <c r="G28" s="7"/>
      <c r="H28" s="8"/>
      <c r="I28" s="5"/>
      <c r="J28" s="23"/>
      <c r="K28" s="23"/>
      <c r="L28" s="6"/>
      <c r="M28" s="6"/>
      <c r="N28" s="7"/>
      <c r="O28" s="7"/>
      <c r="P28" s="7"/>
      <c r="Q28" s="22" t="s">
        <v>100</v>
      </c>
      <c r="S28" s="19" t="s">
        <v>127</v>
      </c>
      <c r="T28" s="19" t="s">
        <v>122</v>
      </c>
      <c r="U28" s="19" t="s">
        <v>215</v>
      </c>
      <c r="V28" s="20">
        <v>7500.0</v>
      </c>
      <c r="W28" s="24"/>
    </row>
    <row r="29" ht="22.5" customHeight="1">
      <c r="A29" s="5"/>
      <c r="B29" s="21"/>
      <c r="C29" s="28"/>
      <c r="D29" s="6"/>
      <c r="E29" s="5"/>
      <c r="F29" s="5"/>
      <c r="G29" s="7"/>
      <c r="H29" s="8"/>
      <c r="I29" s="8"/>
      <c r="J29" s="23"/>
      <c r="K29" s="23"/>
      <c r="L29" s="6"/>
      <c r="M29" s="6"/>
      <c r="N29" s="7"/>
      <c r="O29" s="7"/>
      <c r="P29" s="7"/>
      <c r="Q29" s="22" t="s">
        <v>100</v>
      </c>
      <c r="S29" s="19" t="s">
        <v>127</v>
      </c>
      <c r="T29" s="19" t="s">
        <v>122</v>
      </c>
      <c r="U29" s="19" t="s">
        <v>215</v>
      </c>
      <c r="V29" s="20">
        <v>11000.0</v>
      </c>
      <c r="W29" s="24"/>
    </row>
    <row r="30" ht="22.5" customHeight="1">
      <c r="A30" s="5"/>
      <c r="B30" s="21"/>
      <c r="C30" s="28"/>
      <c r="D30" s="6"/>
      <c r="E30" s="5"/>
      <c r="F30" s="5"/>
      <c r="G30" s="7"/>
      <c r="H30" s="8"/>
      <c r="I30" s="8"/>
      <c r="J30" s="23"/>
      <c r="K30" s="23"/>
      <c r="L30" s="6"/>
      <c r="M30" s="6"/>
      <c r="N30" s="7"/>
      <c r="O30" s="7"/>
      <c r="P30" s="7"/>
      <c r="Q30" s="22" t="s">
        <v>100</v>
      </c>
      <c r="S30" s="19" t="s">
        <v>127</v>
      </c>
      <c r="T30" s="19" t="s">
        <v>122</v>
      </c>
      <c r="U30" s="19" t="s">
        <v>216</v>
      </c>
      <c r="V30" s="20">
        <v>22000.0</v>
      </c>
      <c r="W30" s="24"/>
    </row>
    <row r="31" ht="22.5" customHeight="1">
      <c r="A31" s="5"/>
      <c r="B31" s="21"/>
      <c r="C31" s="28"/>
      <c r="D31" s="6"/>
      <c r="E31" s="5"/>
      <c r="F31" s="5"/>
      <c r="G31" s="7"/>
      <c r="H31" s="8"/>
      <c r="I31" s="8"/>
      <c r="J31" s="23"/>
      <c r="K31" s="23"/>
      <c r="L31" s="6"/>
      <c r="M31" s="6"/>
      <c r="N31" s="7"/>
      <c r="O31" s="7"/>
      <c r="P31" s="7"/>
      <c r="Q31" s="22" t="s">
        <v>100</v>
      </c>
      <c r="S31" s="19" t="s">
        <v>127</v>
      </c>
      <c r="T31" s="19" t="s">
        <v>122</v>
      </c>
      <c r="U31" s="19" t="s">
        <v>217</v>
      </c>
      <c r="V31" s="20">
        <v>20000.0</v>
      </c>
      <c r="W31" s="24"/>
    </row>
    <row r="32" ht="22.5" customHeight="1">
      <c r="A32" s="5"/>
      <c r="B32" s="21"/>
      <c r="C32" s="28"/>
      <c r="D32" s="6"/>
      <c r="E32" s="5"/>
      <c r="F32" s="5"/>
      <c r="G32" s="7"/>
      <c r="H32" s="8"/>
      <c r="I32" s="8"/>
      <c r="J32" s="23"/>
      <c r="K32" s="23"/>
      <c r="L32" s="6"/>
      <c r="M32" s="6"/>
      <c r="N32" s="7"/>
      <c r="O32" s="7"/>
      <c r="P32" s="7"/>
      <c r="Q32" s="22" t="s">
        <v>100</v>
      </c>
      <c r="S32" s="19" t="s">
        <v>127</v>
      </c>
      <c r="T32" s="19" t="s">
        <v>122</v>
      </c>
      <c r="U32" s="19" t="s">
        <v>218</v>
      </c>
      <c r="V32" s="20">
        <v>24000.0</v>
      </c>
      <c r="W32" s="24"/>
    </row>
    <row r="33" ht="22.5" customHeight="1">
      <c r="A33" s="5"/>
      <c r="B33" s="21"/>
      <c r="C33" s="28"/>
      <c r="E33" s="6"/>
      <c r="F33" s="5"/>
      <c r="G33" s="7"/>
      <c r="H33" s="8"/>
      <c r="I33" s="5"/>
      <c r="J33" s="23"/>
      <c r="K33" s="23"/>
      <c r="L33" s="6"/>
      <c r="M33" s="6"/>
      <c r="N33" s="7"/>
      <c r="O33" s="7"/>
      <c r="P33" s="7"/>
      <c r="Q33" s="22" t="s">
        <v>100</v>
      </c>
      <c r="S33" s="27"/>
      <c r="T33" s="27"/>
      <c r="V33" s="24"/>
      <c r="W33" s="24"/>
    </row>
    <row r="34" ht="22.5" customHeight="1">
      <c r="A34" s="5"/>
      <c r="B34" s="21"/>
      <c r="C34" s="28"/>
      <c r="D34" s="6"/>
      <c r="E34" s="5"/>
      <c r="F34" s="5"/>
      <c r="G34" s="7"/>
      <c r="H34" s="8"/>
      <c r="I34" s="8"/>
      <c r="J34" s="23"/>
      <c r="K34" s="23"/>
      <c r="L34" s="6"/>
      <c r="M34" s="6"/>
      <c r="N34" s="7"/>
      <c r="O34" s="7"/>
      <c r="P34" s="7"/>
      <c r="Q34" s="22" t="s">
        <v>100</v>
      </c>
      <c r="S34" s="27"/>
      <c r="T34" s="27"/>
      <c r="V34" s="24"/>
      <c r="W34" s="24"/>
    </row>
  </sheetData>
  <dataValidations>
    <dataValidation type="list" allowBlank="1" showErrorMessage="1" sqref="S2:S34">
      <formula1>"EFECTIVO,VIRTUAL,CREDITO TARJ"</formula1>
    </dataValidation>
    <dataValidation type="list" allowBlank="1" sqref="B2:B34">
      <formula1>"taller,final,agencia"</formula1>
    </dataValidation>
    <dataValidation type="list" allowBlank="1" sqref="C2:C34">
      <formula1>"rep ecu,diagnostico,cerrajeria"</formula1>
    </dataValidation>
    <dataValidation type="custom" allowBlank="1" showDropDown="1" sqref="J2:K34">
      <formula1>OR(NOT(ISERROR(DATEVALUE(J2))), AND(ISNUMBER(J2), LEFT(CELL("format", J2))="D"))</formula1>
    </dataValidation>
    <dataValidation allowBlank="1" showDropDown="1" sqref="A2:A34 H2:I34"/>
    <dataValidation type="list" allowBlank="1" sqref="Q2:Q34">
      <formula1>"no,si"</formula1>
    </dataValidation>
    <dataValidation type="list" allowBlank="1" showErrorMessage="1" sqref="T2:T34">
      <formula1>"GUSTO,CASA,PERSONAL,ICATRONIC,CUENTAS"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13"/>
    <col customWidth="1" min="2" max="2" width="19.13"/>
    <col customWidth="1" min="3" max="3" width="19.88"/>
    <col customWidth="1" min="4" max="4" width="22.63"/>
    <col customWidth="1" min="5" max="6" width="31.0"/>
    <col customWidth="1" min="7" max="7" width="15.25"/>
    <col customWidth="1" min="8" max="8" width="12.25"/>
    <col customWidth="1" min="9" max="9" width="22.63"/>
    <col customWidth="1" min="10" max="10" width="21.38"/>
    <col customWidth="1" min="11" max="11" width="21.0"/>
    <col customWidth="1" min="12" max="12" width="17.0"/>
    <col customWidth="1" min="17" max="17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18" t="s">
        <v>89</v>
      </c>
    </row>
    <row r="2" ht="22.5" customHeight="1">
      <c r="A2" s="6" t="s">
        <v>219</v>
      </c>
      <c r="B2" s="21" t="s">
        <v>105</v>
      </c>
      <c r="C2" s="22" t="s">
        <v>106</v>
      </c>
      <c r="D2" s="6" t="s">
        <v>220</v>
      </c>
      <c r="E2" s="5" t="s">
        <v>221</v>
      </c>
      <c r="F2" s="5" t="s">
        <v>222</v>
      </c>
      <c r="G2" s="7"/>
      <c r="H2" s="8"/>
      <c r="I2" s="5"/>
      <c r="J2" s="23">
        <v>46024.0</v>
      </c>
      <c r="K2" s="23">
        <v>46025.0</v>
      </c>
      <c r="L2" s="11">
        <v>30000.0</v>
      </c>
      <c r="M2" s="11">
        <v>0.0</v>
      </c>
      <c r="N2" s="12">
        <f>SUM(Trabajos_y_clientes_9[valor del trabajo])</f>
        <v>3350000</v>
      </c>
      <c r="O2" s="12">
        <f>SUM(Trabajos_y_clientes_9[costo])</f>
        <v>781000</v>
      </c>
      <c r="P2" s="12">
        <f>SUM(N2-O2)</f>
        <v>2569000</v>
      </c>
      <c r="Q2" s="22" t="s">
        <v>100</v>
      </c>
    </row>
    <row r="3" ht="22.5" customHeight="1">
      <c r="A3" s="6" t="s">
        <v>223</v>
      </c>
      <c r="B3" s="21" t="s">
        <v>105</v>
      </c>
      <c r="C3" s="22" t="s">
        <v>106</v>
      </c>
      <c r="D3" s="6" t="s">
        <v>224</v>
      </c>
      <c r="E3" s="5" t="s">
        <v>225</v>
      </c>
      <c r="F3" s="5" t="s">
        <v>226</v>
      </c>
      <c r="G3" s="7"/>
      <c r="H3" s="8"/>
      <c r="I3" s="5"/>
      <c r="J3" s="23">
        <v>46044.0</v>
      </c>
      <c r="K3" s="23">
        <v>46057.0</v>
      </c>
      <c r="L3" s="11">
        <v>260000.0</v>
      </c>
      <c r="M3" s="11">
        <v>50000.0</v>
      </c>
      <c r="N3" s="7"/>
      <c r="O3" s="7"/>
      <c r="P3" s="13"/>
      <c r="Q3" s="22" t="s">
        <v>100</v>
      </c>
    </row>
    <row r="4" ht="22.5" customHeight="1">
      <c r="A4" s="5" t="s">
        <v>227</v>
      </c>
      <c r="B4" s="6" t="s">
        <v>105</v>
      </c>
      <c r="C4" s="22" t="s">
        <v>106</v>
      </c>
      <c r="D4" s="6" t="s">
        <v>228</v>
      </c>
      <c r="E4" s="5" t="s">
        <v>229</v>
      </c>
      <c r="F4" s="5" t="s">
        <v>230</v>
      </c>
      <c r="G4" s="7"/>
      <c r="H4" s="5" t="s">
        <v>231</v>
      </c>
      <c r="I4" s="5" t="s">
        <v>232</v>
      </c>
      <c r="J4" s="23">
        <v>46041.0</v>
      </c>
      <c r="K4" s="23">
        <v>46057.0</v>
      </c>
      <c r="L4" s="11">
        <v>40000.0</v>
      </c>
      <c r="M4" s="11">
        <v>2000.0</v>
      </c>
      <c r="N4" s="7"/>
      <c r="O4" s="7"/>
      <c r="P4" s="13"/>
      <c r="Q4" s="22" t="s">
        <v>100</v>
      </c>
    </row>
    <row r="5" ht="22.5" customHeight="1">
      <c r="A5" s="5" t="s">
        <v>233</v>
      </c>
      <c r="B5" s="6" t="s">
        <v>105</v>
      </c>
      <c r="C5" s="22" t="s">
        <v>106</v>
      </c>
      <c r="D5" s="6" t="s">
        <v>234</v>
      </c>
      <c r="E5" s="5" t="s">
        <v>235</v>
      </c>
      <c r="F5" s="5" t="s">
        <v>236</v>
      </c>
      <c r="G5" s="7"/>
      <c r="H5" s="8"/>
      <c r="I5" s="5" t="s">
        <v>237</v>
      </c>
      <c r="J5" s="23">
        <v>46057.0</v>
      </c>
      <c r="K5" s="23">
        <v>46057.0</v>
      </c>
      <c r="L5" s="11">
        <v>80000.0</v>
      </c>
      <c r="M5" s="6">
        <v>0.0</v>
      </c>
      <c r="N5" s="7"/>
      <c r="O5" s="7"/>
      <c r="P5" s="13"/>
      <c r="Q5" s="22" t="s">
        <v>100</v>
      </c>
    </row>
    <row r="6" ht="22.5" customHeight="1">
      <c r="A6" s="5" t="s">
        <v>238</v>
      </c>
      <c r="B6" s="6" t="s">
        <v>105</v>
      </c>
      <c r="C6" s="25" t="s">
        <v>106</v>
      </c>
      <c r="D6" s="6" t="s">
        <v>239</v>
      </c>
      <c r="E6" s="5" t="s">
        <v>240</v>
      </c>
      <c r="F6" s="5" t="s">
        <v>241</v>
      </c>
      <c r="G6" s="7"/>
      <c r="H6" s="8"/>
      <c r="I6" s="5" t="s">
        <v>242</v>
      </c>
      <c r="J6" s="23">
        <v>46058.0</v>
      </c>
      <c r="K6" s="23">
        <v>46059.0</v>
      </c>
      <c r="L6" s="11">
        <v>250000.0</v>
      </c>
      <c r="M6" s="6">
        <v>100000.0</v>
      </c>
      <c r="N6" s="7"/>
      <c r="O6" s="7"/>
      <c r="P6" s="13"/>
      <c r="Q6" s="22" t="s">
        <v>100</v>
      </c>
    </row>
    <row r="7" ht="22.5" customHeight="1">
      <c r="A7" s="5" t="s">
        <v>243</v>
      </c>
      <c r="B7" s="21" t="s">
        <v>105</v>
      </c>
      <c r="C7" s="22" t="s">
        <v>106</v>
      </c>
      <c r="D7" s="6" t="s">
        <v>244</v>
      </c>
      <c r="E7" s="5" t="s">
        <v>175</v>
      </c>
      <c r="F7" s="5" t="s">
        <v>245</v>
      </c>
      <c r="G7" s="7"/>
      <c r="H7" s="8"/>
      <c r="I7" s="5"/>
      <c r="J7" s="23">
        <v>46059.0</v>
      </c>
      <c r="K7" s="23">
        <v>46059.0</v>
      </c>
      <c r="L7" s="11">
        <v>80000.0</v>
      </c>
      <c r="M7" s="6">
        <v>0.0</v>
      </c>
      <c r="N7" s="7"/>
      <c r="O7" s="7"/>
      <c r="P7" s="13"/>
      <c r="Q7" s="22" t="s">
        <v>100</v>
      </c>
    </row>
    <row r="8" ht="22.5" customHeight="1">
      <c r="A8" s="5" t="s">
        <v>246</v>
      </c>
      <c r="B8" s="21" t="s">
        <v>96</v>
      </c>
      <c r="C8" s="22" t="s">
        <v>106</v>
      </c>
      <c r="D8" s="6" t="s">
        <v>247</v>
      </c>
      <c r="E8" s="5" t="s">
        <v>248</v>
      </c>
      <c r="F8" s="5" t="s">
        <v>249</v>
      </c>
      <c r="G8" s="7"/>
      <c r="H8" s="8"/>
      <c r="I8" s="5"/>
      <c r="J8" s="23">
        <v>46059.0</v>
      </c>
      <c r="K8" s="23">
        <v>46059.0</v>
      </c>
      <c r="L8" s="6">
        <v>70000.0</v>
      </c>
      <c r="M8" s="6">
        <v>20000.0</v>
      </c>
      <c r="N8" s="7"/>
      <c r="P8" s="7"/>
      <c r="Q8" s="22" t="s">
        <v>100</v>
      </c>
    </row>
    <row r="9" ht="22.5" customHeight="1">
      <c r="A9" s="5" t="s">
        <v>250</v>
      </c>
      <c r="B9" s="21" t="s">
        <v>105</v>
      </c>
      <c r="C9" s="22" t="s">
        <v>18</v>
      </c>
      <c r="D9" s="6" t="s">
        <v>251</v>
      </c>
      <c r="E9" s="5" t="s">
        <v>252</v>
      </c>
      <c r="F9" s="5" t="s">
        <v>253</v>
      </c>
      <c r="G9" s="7"/>
      <c r="H9" s="8"/>
      <c r="I9" s="5"/>
      <c r="J9" s="23">
        <v>46060.0</v>
      </c>
      <c r="K9" s="23">
        <v>46062.0</v>
      </c>
      <c r="L9" s="6">
        <v>190000.0</v>
      </c>
      <c r="M9" s="6">
        <v>20000.0</v>
      </c>
      <c r="N9" s="7"/>
      <c r="O9" s="7"/>
      <c r="P9" s="7"/>
      <c r="Q9" s="22" t="s">
        <v>100</v>
      </c>
    </row>
    <row r="10" ht="22.5" customHeight="1">
      <c r="A10" s="5" t="s">
        <v>203</v>
      </c>
      <c r="B10" s="21" t="s">
        <v>96</v>
      </c>
      <c r="C10" s="22" t="s">
        <v>106</v>
      </c>
      <c r="D10" s="6" t="s">
        <v>254</v>
      </c>
      <c r="E10" s="5" t="s">
        <v>98</v>
      </c>
      <c r="F10" s="5" t="s">
        <v>255</v>
      </c>
      <c r="G10" s="7"/>
      <c r="H10" s="8"/>
      <c r="I10" s="5"/>
      <c r="J10" s="23">
        <v>46059.0</v>
      </c>
      <c r="K10" s="23">
        <v>46064.0</v>
      </c>
      <c r="L10" s="15">
        <v>90000.0</v>
      </c>
      <c r="M10" s="6">
        <v>28000.0</v>
      </c>
      <c r="N10" s="7"/>
      <c r="O10" s="7"/>
      <c r="P10" s="7"/>
      <c r="Q10" s="22" t="s">
        <v>100</v>
      </c>
    </row>
    <row r="11" ht="22.5" customHeight="1">
      <c r="A11" s="5" t="s">
        <v>256</v>
      </c>
      <c r="B11" s="21" t="s">
        <v>105</v>
      </c>
      <c r="C11" s="22" t="s">
        <v>18</v>
      </c>
      <c r="D11" s="6" t="s">
        <v>257</v>
      </c>
      <c r="E11" s="5" t="s">
        <v>258</v>
      </c>
      <c r="F11" s="5" t="s">
        <v>259</v>
      </c>
      <c r="G11" s="7"/>
      <c r="H11" s="8"/>
      <c r="I11" s="5"/>
      <c r="J11" s="23">
        <v>46065.0</v>
      </c>
      <c r="K11" s="23">
        <v>46065.0</v>
      </c>
      <c r="L11" s="6">
        <v>140000.0</v>
      </c>
      <c r="M11" s="6">
        <v>30000.0</v>
      </c>
      <c r="N11" s="7"/>
      <c r="O11" s="7"/>
      <c r="P11" s="7"/>
      <c r="Q11" s="22" t="s">
        <v>100</v>
      </c>
    </row>
    <row r="12" ht="22.5" customHeight="1">
      <c r="A12" s="5" t="s">
        <v>260</v>
      </c>
      <c r="B12" s="21" t="s">
        <v>96</v>
      </c>
      <c r="C12" s="22" t="s">
        <v>106</v>
      </c>
      <c r="D12" s="6" t="s">
        <v>261</v>
      </c>
      <c r="E12" s="5" t="s">
        <v>262</v>
      </c>
      <c r="F12" s="5" t="s">
        <v>263</v>
      </c>
      <c r="G12" s="7"/>
      <c r="H12" s="8"/>
      <c r="I12" s="5"/>
      <c r="J12" s="23">
        <v>46063.0</v>
      </c>
      <c r="K12" s="23">
        <v>46065.0</v>
      </c>
      <c r="L12" s="6">
        <v>280000.0</v>
      </c>
      <c r="M12" s="6">
        <v>40000.0</v>
      </c>
      <c r="N12" s="7"/>
      <c r="O12" s="7"/>
      <c r="P12" s="7"/>
      <c r="Q12" s="22" t="s">
        <v>100</v>
      </c>
    </row>
    <row r="13" ht="22.5" customHeight="1">
      <c r="A13" s="5" t="s">
        <v>264</v>
      </c>
      <c r="B13" s="21" t="s">
        <v>96</v>
      </c>
      <c r="C13" s="22" t="s">
        <v>265</v>
      </c>
      <c r="D13" s="6" t="s">
        <v>266</v>
      </c>
      <c r="E13" s="5" t="s">
        <v>267</v>
      </c>
      <c r="F13" s="5" t="s">
        <v>268</v>
      </c>
      <c r="G13" s="7"/>
      <c r="H13" s="8"/>
      <c r="I13" s="5"/>
      <c r="J13" s="23">
        <v>46064.0</v>
      </c>
      <c r="K13" s="23">
        <v>46065.0</v>
      </c>
      <c r="L13" s="6">
        <v>180000.0</v>
      </c>
      <c r="M13" s="6">
        <v>0.0</v>
      </c>
      <c r="N13" s="7"/>
      <c r="O13" s="7"/>
      <c r="P13" s="7"/>
      <c r="Q13" s="22" t="s">
        <v>100</v>
      </c>
    </row>
    <row r="14" ht="22.5" customHeight="1">
      <c r="A14" s="5" t="s">
        <v>269</v>
      </c>
      <c r="B14" s="21" t="s">
        <v>96</v>
      </c>
      <c r="C14" s="22" t="s">
        <v>265</v>
      </c>
      <c r="D14" s="6" t="s">
        <v>261</v>
      </c>
      <c r="E14" s="5" t="s">
        <v>270</v>
      </c>
      <c r="F14" s="5" t="s">
        <v>271</v>
      </c>
      <c r="G14" s="7"/>
      <c r="H14" s="8"/>
      <c r="I14" s="5"/>
      <c r="J14" s="23">
        <v>46063.0</v>
      </c>
      <c r="K14" s="23">
        <v>46065.0</v>
      </c>
      <c r="L14" s="6">
        <v>110000.0</v>
      </c>
      <c r="M14" s="6">
        <v>40000.0</v>
      </c>
      <c r="N14" s="7"/>
      <c r="O14" s="7"/>
      <c r="P14" s="7"/>
      <c r="Q14" s="22" t="s">
        <v>100</v>
      </c>
    </row>
    <row r="15" ht="22.5" customHeight="1">
      <c r="A15" s="5" t="s">
        <v>272</v>
      </c>
      <c r="B15" s="21" t="s">
        <v>105</v>
      </c>
      <c r="C15" s="22" t="s">
        <v>106</v>
      </c>
      <c r="D15" s="6" t="s">
        <v>273</v>
      </c>
      <c r="E15" s="5" t="s">
        <v>274</v>
      </c>
      <c r="F15" s="5" t="s">
        <v>275</v>
      </c>
      <c r="G15" s="7"/>
      <c r="H15" s="8"/>
      <c r="I15" s="5"/>
      <c r="J15" s="23">
        <v>46069.0</v>
      </c>
      <c r="K15" s="23">
        <v>46069.0</v>
      </c>
      <c r="L15" s="6">
        <v>60000.0</v>
      </c>
      <c r="M15" s="6">
        <v>0.0</v>
      </c>
      <c r="N15" s="7"/>
      <c r="O15" s="7"/>
      <c r="P15" s="7"/>
      <c r="Q15" s="22" t="s">
        <v>100</v>
      </c>
    </row>
    <row r="16" ht="22.5" customHeight="1">
      <c r="A16" s="5" t="s">
        <v>276</v>
      </c>
      <c r="B16" s="21" t="s">
        <v>96</v>
      </c>
      <c r="C16" s="22" t="s">
        <v>106</v>
      </c>
      <c r="D16" s="6" t="s">
        <v>277</v>
      </c>
      <c r="E16" s="5" t="s">
        <v>98</v>
      </c>
      <c r="F16" s="5" t="s">
        <v>278</v>
      </c>
      <c r="G16" s="7"/>
      <c r="H16" s="8"/>
      <c r="I16" s="8"/>
      <c r="J16" s="23">
        <v>46070.0</v>
      </c>
      <c r="K16" s="23">
        <v>46070.0</v>
      </c>
      <c r="L16" s="6">
        <v>90000.0</v>
      </c>
      <c r="M16" s="6">
        <v>0.0</v>
      </c>
      <c r="N16" s="7"/>
      <c r="O16" s="7"/>
      <c r="P16" s="7"/>
      <c r="Q16" s="22" t="s">
        <v>100</v>
      </c>
    </row>
    <row r="17" ht="22.5" customHeight="1">
      <c r="A17" s="5" t="s">
        <v>155</v>
      </c>
      <c r="B17" s="6" t="s">
        <v>96</v>
      </c>
      <c r="C17" s="22" t="s">
        <v>106</v>
      </c>
      <c r="D17" s="6" t="s">
        <v>279</v>
      </c>
      <c r="E17" s="5"/>
      <c r="F17" s="5"/>
      <c r="G17" s="7"/>
      <c r="H17" s="8"/>
      <c r="I17" s="8"/>
      <c r="J17" s="23">
        <v>46071.0</v>
      </c>
      <c r="K17" s="23">
        <v>46071.0</v>
      </c>
      <c r="L17" s="6">
        <v>60000.0</v>
      </c>
      <c r="M17" s="6"/>
      <c r="N17" s="7"/>
      <c r="O17" s="7"/>
      <c r="P17" s="7"/>
      <c r="Q17" s="22" t="s">
        <v>100</v>
      </c>
    </row>
    <row r="18" ht="22.5" customHeight="1">
      <c r="A18" s="5" t="s">
        <v>260</v>
      </c>
      <c r="B18" s="21" t="s">
        <v>96</v>
      </c>
      <c r="C18" s="22" t="s">
        <v>106</v>
      </c>
      <c r="D18" s="6" t="s">
        <v>280</v>
      </c>
      <c r="E18" s="5" t="s">
        <v>281</v>
      </c>
      <c r="F18" s="5" t="s">
        <v>282</v>
      </c>
      <c r="G18" s="7"/>
      <c r="H18" s="8"/>
      <c r="I18" s="8"/>
      <c r="J18" s="23">
        <v>46072.0</v>
      </c>
      <c r="K18" s="23">
        <v>46072.0</v>
      </c>
      <c r="L18" s="6">
        <v>90000.0</v>
      </c>
      <c r="M18" s="6"/>
      <c r="N18" s="7"/>
      <c r="O18" s="7"/>
      <c r="P18" s="7"/>
      <c r="Q18" s="22" t="s">
        <v>100</v>
      </c>
    </row>
    <row r="19" ht="22.5" customHeight="1">
      <c r="A19" s="5" t="s">
        <v>283</v>
      </c>
      <c r="B19" s="21" t="s">
        <v>105</v>
      </c>
      <c r="C19" s="22" t="s">
        <v>106</v>
      </c>
      <c r="D19" s="6" t="s">
        <v>284</v>
      </c>
      <c r="E19" s="5" t="s">
        <v>285</v>
      </c>
      <c r="F19" s="5" t="s">
        <v>286</v>
      </c>
      <c r="G19" s="7"/>
      <c r="H19" s="8"/>
      <c r="I19" s="8"/>
      <c r="J19" s="23">
        <v>46072.0</v>
      </c>
      <c r="K19" s="23">
        <v>46074.0</v>
      </c>
      <c r="L19" s="6">
        <v>400000.0</v>
      </c>
      <c r="M19" s="6">
        <v>240000.0</v>
      </c>
      <c r="N19" s="7"/>
      <c r="O19" s="7"/>
      <c r="P19" s="7"/>
      <c r="Q19" s="22" t="s">
        <v>100</v>
      </c>
    </row>
    <row r="20" ht="22.5" customHeight="1">
      <c r="A20" s="26" t="s">
        <v>272</v>
      </c>
      <c r="B20" s="21" t="s">
        <v>105</v>
      </c>
      <c r="C20" s="22" t="s">
        <v>106</v>
      </c>
      <c r="D20" s="6" t="s">
        <v>287</v>
      </c>
      <c r="E20" s="5"/>
      <c r="F20" s="5" t="s">
        <v>288</v>
      </c>
      <c r="G20" s="7"/>
      <c r="H20" s="8"/>
      <c r="I20" s="5"/>
      <c r="J20" s="23">
        <v>46074.0</v>
      </c>
      <c r="K20" s="23">
        <v>46074.0</v>
      </c>
      <c r="L20" s="6">
        <v>180000.0</v>
      </c>
      <c r="M20" s="6">
        <v>110000.0</v>
      </c>
      <c r="N20" s="7"/>
      <c r="O20" s="7"/>
      <c r="P20" s="7"/>
      <c r="Q20" s="22" t="s">
        <v>100</v>
      </c>
    </row>
    <row r="21" ht="22.5" customHeight="1">
      <c r="A21" s="5" t="s">
        <v>289</v>
      </c>
      <c r="B21" s="21" t="s">
        <v>96</v>
      </c>
      <c r="C21" s="22" t="s">
        <v>106</v>
      </c>
      <c r="D21" s="6" t="s">
        <v>290</v>
      </c>
      <c r="E21" s="5" t="s">
        <v>291</v>
      </c>
      <c r="F21" s="5" t="s">
        <v>292</v>
      </c>
      <c r="G21" s="7"/>
      <c r="H21" s="8"/>
      <c r="I21" s="5"/>
      <c r="J21" s="23">
        <v>46073.0</v>
      </c>
      <c r="K21" s="23">
        <v>46074.0</v>
      </c>
      <c r="L21" s="6">
        <v>80000.0</v>
      </c>
      <c r="M21" s="6">
        <v>11000.0</v>
      </c>
      <c r="N21" s="7"/>
      <c r="O21" s="7"/>
      <c r="P21" s="7"/>
      <c r="Q21" s="22" t="s">
        <v>100</v>
      </c>
    </row>
    <row r="22" ht="22.5" customHeight="1">
      <c r="A22" s="5" t="s">
        <v>269</v>
      </c>
      <c r="B22" s="21" t="s">
        <v>96</v>
      </c>
      <c r="C22" s="22" t="s">
        <v>106</v>
      </c>
      <c r="D22" s="6" t="s">
        <v>293</v>
      </c>
      <c r="E22" s="5" t="s">
        <v>294</v>
      </c>
      <c r="F22" s="5" t="s">
        <v>295</v>
      </c>
      <c r="G22" s="7"/>
      <c r="H22" s="8"/>
      <c r="I22" s="5"/>
      <c r="J22" s="23">
        <v>46076.0</v>
      </c>
      <c r="K22" s="23">
        <v>46076.0</v>
      </c>
      <c r="L22" s="6">
        <v>50000.0</v>
      </c>
      <c r="M22" s="6">
        <v>0.0</v>
      </c>
      <c r="N22" s="7"/>
      <c r="O22" s="7"/>
      <c r="P22" s="7"/>
      <c r="Q22" s="22" t="s">
        <v>100</v>
      </c>
    </row>
    <row r="23" ht="22.5" customHeight="1">
      <c r="A23" s="5" t="s">
        <v>296</v>
      </c>
      <c r="B23" s="21" t="s">
        <v>105</v>
      </c>
      <c r="C23" s="22" t="s">
        <v>106</v>
      </c>
      <c r="D23" s="6" t="s">
        <v>297</v>
      </c>
      <c r="E23" s="5" t="s">
        <v>98</v>
      </c>
      <c r="F23" s="5" t="s">
        <v>298</v>
      </c>
      <c r="G23" s="7"/>
      <c r="H23" s="8"/>
      <c r="I23" s="8"/>
      <c r="J23" s="23">
        <v>46076.0</v>
      </c>
      <c r="K23" s="23">
        <v>46077.0</v>
      </c>
      <c r="L23" s="6">
        <v>180000.0</v>
      </c>
      <c r="M23" s="6"/>
      <c r="N23" s="7"/>
      <c r="O23" s="7"/>
      <c r="P23" s="7"/>
      <c r="Q23" s="22" t="s">
        <v>100</v>
      </c>
    </row>
    <row r="24" ht="22.5" customHeight="1">
      <c r="A24" s="5" t="s">
        <v>299</v>
      </c>
      <c r="B24" s="21" t="s">
        <v>105</v>
      </c>
      <c r="C24" s="22" t="s">
        <v>106</v>
      </c>
      <c r="D24" s="6" t="s">
        <v>300</v>
      </c>
      <c r="E24" s="5" t="s">
        <v>301</v>
      </c>
      <c r="F24" s="5" t="s">
        <v>302</v>
      </c>
      <c r="G24" s="7"/>
      <c r="H24" s="8"/>
      <c r="I24" s="8"/>
      <c r="J24" s="23">
        <v>46077.0</v>
      </c>
      <c r="K24" s="23">
        <v>46078.0</v>
      </c>
      <c r="L24" s="6">
        <v>120000.0</v>
      </c>
      <c r="M24" s="6">
        <v>10000.0</v>
      </c>
      <c r="N24" s="7"/>
      <c r="O24" s="7"/>
      <c r="P24" s="7"/>
      <c r="Q24" s="22" t="s">
        <v>100</v>
      </c>
    </row>
    <row r="25" ht="22.5" customHeight="1">
      <c r="A25" s="5" t="s">
        <v>129</v>
      </c>
      <c r="B25" s="21" t="s">
        <v>130</v>
      </c>
      <c r="C25" s="22" t="s">
        <v>106</v>
      </c>
      <c r="D25" s="6" t="s">
        <v>303</v>
      </c>
      <c r="E25" s="5" t="s">
        <v>304</v>
      </c>
      <c r="F25" s="5" t="s">
        <v>305</v>
      </c>
      <c r="G25" s="7"/>
      <c r="H25" s="8"/>
      <c r="I25" s="8"/>
      <c r="J25" s="23">
        <v>46081.0</v>
      </c>
      <c r="K25" s="23">
        <v>46081.0</v>
      </c>
      <c r="L25" s="6">
        <v>90000.0</v>
      </c>
      <c r="M25" s="6">
        <v>10000.0</v>
      </c>
      <c r="N25" s="7"/>
      <c r="O25" s="7"/>
      <c r="P25" s="7"/>
      <c r="Q25" s="22" t="s">
        <v>100</v>
      </c>
    </row>
    <row r="26" ht="22.5" customHeight="1">
      <c r="A26" s="5" t="s">
        <v>233</v>
      </c>
      <c r="B26" s="21" t="s">
        <v>105</v>
      </c>
      <c r="C26" s="22" t="s">
        <v>106</v>
      </c>
      <c r="D26" s="6" t="s">
        <v>306</v>
      </c>
      <c r="E26" s="5" t="s">
        <v>307</v>
      </c>
      <c r="F26" s="5" t="s">
        <v>308</v>
      </c>
      <c r="G26" s="7"/>
      <c r="H26" s="8"/>
      <c r="I26" s="5"/>
      <c r="J26" s="23">
        <v>46081.0</v>
      </c>
      <c r="K26" s="23">
        <v>46081.0</v>
      </c>
      <c r="L26" s="6">
        <v>150000.0</v>
      </c>
      <c r="M26" s="6">
        <v>70000.0</v>
      </c>
      <c r="N26" s="7"/>
      <c r="O26" s="7"/>
      <c r="P26" s="7"/>
      <c r="Q26" s="22" t="s">
        <v>100</v>
      </c>
    </row>
    <row r="27" ht="22.5" customHeight="1">
      <c r="A27" s="5"/>
      <c r="B27" s="21"/>
      <c r="C27" s="22"/>
      <c r="D27" s="6"/>
      <c r="E27" s="5"/>
      <c r="F27" s="5"/>
      <c r="G27" s="7"/>
      <c r="H27" s="8"/>
      <c r="I27" s="8"/>
      <c r="J27" s="23"/>
      <c r="K27" s="23"/>
      <c r="L27" s="6"/>
      <c r="M27" s="6"/>
      <c r="N27" s="7"/>
      <c r="O27" s="7"/>
      <c r="P27" s="7"/>
      <c r="Q27" s="22" t="s">
        <v>100</v>
      </c>
    </row>
    <row r="28" ht="22.5" customHeight="1">
      <c r="A28" s="5"/>
      <c r="B28" s="21"/>
      <c r="C28" s="22"/>
      <c r="E28" s="5"/>
      <c r="F28" s="5"/>
      <c r="G28" s="7"/>
      <c r="H28" s="8"/>
      <c r="I28" s="5"/>
      <c r="J28" s="23"/>
      <c r="K28" s="23"/>
      <c r="L28" s="6"/>
      <c r="M28" s="6"/>
      <c r="N28" s="7"/>
      <c r="O28" s="7"/>
      <c r="P28" s="7"/>
      <c r="Q28" s="22" t="s">
        <v>100</v>
      </c>
    </row>
    <row r="29" ht="22.5" customHeight="1">
      <c r="A29" s="5"/>
      <c r="B29" s="21"/>
      <c r="C29" s="22"/>
      <c r="D29" s="6"/>
      <c r="E29" s="5"/>
      <c r="F29" s="5"/>
      <c r="G29" s="7"/>
      <c r="H29" s="8"/>
      <c r="I29" s="8"/>
      <c r="J29" s="23"/>
      <c r="K29" s="23"/>
      <c r="L29" s="6"/>
      <c r="M29" s="6"/>
      <c r="N29" s="7"/>
      <c r="O29" s="7"/>
      <c r="P29" s="7"/>
      <c r="Q29" s="22" t="s">
        <v>100</v>
      </c>
    </row>
    <row r="30" ht="22.5" customHeight="1">
      <c r="A30" s="5"/>
      <c r="B30" s="21"/>
      <c r="C30" s="22"/>
      <c r="D30" s="6"/>
      <c r="E30" s="5"/>
      <c r="F30" s="5"/>
      <c r="G30" s="7"/>
      <c r="H30" s="8"/>
      <c r="I30" s="8"/>
      <c r="J30" s="23"/>
      <c r="K30" s="23"/>
      <c r="L30" s="6"/>
      <c r="M30" s="6"/>
      <c r="N30" s="7"/>
      <c r="O30" s="7"/>
      <c r="P30" s="7"/>
      <c r="Q30" s="22" t="s">
        <v>100</v>
      </c>
    </row>
    <row r="31" ht="22.5" customHeight="1">
      <c r="A31" s="5"/>
      <c r="B31" s="21"/>
      <c r="C31" s="22"/>
      <c r="D31" s="6"/>
      <c r="E31" s="5"/>
      <c r="F31" s="5"/>
      <c r="G31" s="7"/>
      <c r="H31" s="8"/>
      <c r="I31" s="8"/>
      <c r="J31" s="23"/>
      <c r="K31" s="23"/>
      <c r="L31" s="6"/>
      <c r="M31" s="6"/>
      <c r="N31" s="7"/>
      <c r="O31" s="7"/>
      <c r="P31" s="7"/>
      <c r="Q31" s="22" t="s">
        <v>100</v>
      </c>
    </row>
    <row r="32" ht="22.5" customHeight="1">
      <c r="A32" s="5"/>
      <c r="B32" s="21"/>
      <c r="C32" s="22"/>
      <c r="D32" s="6"/>
      <c r="E32" s="5"/>
      <c r="F32" s="5"/>
      <c r="G32" s="7"/>
      <c r="H32" s="8"/>
      <c r="I32" s="8"/>
      <c r="J32" s="23"/>
      <c r="K32" s="23"/>
      <c r="L32" s="6"/>
      <c r="M32" s="6"/>
      <c r="N32" s="7"/>
      <c r="O32" s="7"/>
      <c r="P32" s="7"/>
      <c r="Q32" s="22" t="s">
        <v>100</v>
      </c>
    </row>
    <row r="33" ht="22.5" customHeight="1">
      <c r="A33" s="5"/>
      <c r="B33" s="21"/>
      <c r="C33" s="22"/>
      <c r="E33" s="6"/>
      <c r="F33" s="5"/>
      <c r="G33" s="7"/>
      <c r="H33" s="8"/>
      <c r="I33" s="5"/>
      <c r="J33" s="23"/>
      <c r="K33" s="23"/>
      <c r="L33" s="6"/>
      <c r="M33" s="6"/>
      <c r="N33" s="7"/>
      <c r="O33" s="7"/>
      <c r="P33" s="7"/>
      <c r="Q33" s="22" t="s">
        <v>100</v>
      </c>
    </row>
    <row r="34" ht="22.5" customHeight="1">
      <c r="A34" s="5"/>
      <c r="B34" s="21"/>
      <c r="C34" s="22"/>
      <c r="D34" s="6"/>
      <c r="E34" s="5"/>
      <c r="F34" s="5"/>
      <c r="G34" s="7"/>
      <c r="H34" s="8"/>
      <c r="I34" s="8"/>
      <c r="J34" s="23"/>
      <c r="K34" s="23"/>
      <c r="L34" s="6"/>
      <c r="M34" s="6"/>
      <c r="N34" s="7"/>
      <c r="O34" s="7"/>
      <c r="P34" s="7"/>
      <c r="Q34" s="22" t="s">
        <v>100</v>
      </c>
    </row>
  </sheetData>
  <dataValidations>
    <dataValidation type="list" allowBlank="1" sqref="B2:B34">
      <formula1>"taller,final,agencia"</formula1>
    </dataValidation>
    <dataValidation type="list" allowBlank="1" sqref="C2:C34">
      <formula1>"rep ecu,diagnostico,cerrajeria"</formula1>
    </dataValidation>
    <dataValidation type="custom" allowBlank="1" showDropDown="1" sqref="J2:K34">
      <formula1>OR(NOT(ISERROR(DATEVALUE(J2))), AND(ISNUMBER(J2), LEFT(CELL("format", J2))="D"))</formula1>
    </dataValidation>
    <dataValidation allowBlank="1" showDropDown="1" sqref="A2:A34 H2:I34"/>
    <dataValidation type="list" allowBlank="1" sqref="Q2:Q34">
      <formula1>"no,si"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13"/>
    <col customWidth="1" min="2" max="2" width="19.13"/>
    <col customWidth="1" min="3" max="3" width="19.88"/>
    <col customWidth="1" min="4" max="4" width="22.63"/>
    <col customWidth="1" min="5" max="6" width="31.0"/>
    <col customWidth="1" min="7" max="7" width="15.25"/>
    <col customWidth="1" min="8" max="8" width="12.25"/>
    <col customWidth="1" min="9" max="9" width="22.63"/>
    <col customWidth="1" min="10" max="10" width="21.38"/>
    <col customWidth="1" min="11" max="11" width="21.0"/>
    <col customWidth="1" min="12" max="12" width="17.0"/>
    <col customWidth="1" min="17" max="17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18" t="s">
        <v>89</v>
      </c>
    </row>
    <row r="2" ht="22.5" customHeight="1">
      <c r="A2" s="29" t="s">
        <v>309</v>
      </c>
      <c r="B2" s="30" t="s">
        <v>105</v>
      </c>
      <c r="C2" s="31" t="s">
        <v>106</v>
      </c>
      <c r="D2" s="32" t="s">
        <v>247</v>
      </c>
      <c r="E2" s="33" t="s">
        <v>310</v>
      </c>
      <c r="F2" s="33" t="s">
        <v>311</v>
      </c>
      <c r="G2" s="34"/>
      <c r="H2" s="35"/>
      <c r="I2" s="35"/>
      <c r="J2" s="36">
        <v>46027.0</v>
      </c>
      <c r="K2" s="36">
        <v>46027.0</v>
      </c>
      <c r="L2" s="37">
        <v>150000.0</v>
      </c>
      <c r="M2" s="11">
        <v>0.0</v>
      </c>
      <c r="N2" s="12">
        <f t="shared" ref="N2:O2" si="1">SUM(L2:L38)</f>
        <v>3149000</v>
      </c>
      <c r="O2" s="12">
        <f t="shared" si="1"/>
        <v>352000</v>
      </c>
      <c r="P2" s="12">
        <f>SUM(N2-O2)</f>
        <v>2797000</v>
      </c>
      <c r="Q2" s="22"/>
    </row>
    <row r="3" ht="22.5" customHeight="1">
      <c r="A3" s="6" t="s">
        <v>155</v>
      </c>
      <c r="B3" s="21" t="s">
        <v>96</v>
      </c>
      <c r="C3" s="22" t="s">
        <v>106</v>
      </c>
      <c r="D3" s="6" t="s">
        <v>312</v>
      </c>
      <c r="E3" s="5" t="s">
        <v>313</v>
      </c>
      <c r="F3" s="5" t="s">
        <v>314</v>
      </c>
      <c r="G3" s="7"/>
      <c r="H3" s="8"/>
      <c r="I3" s="5"/>
      <c r="J3" s="23">
        <v>46029.0</v>
      </c>
      <c r="K3" s="23">
        <v>46029.0</v>
      </c>
      <c r="L3" s="11">
        <v>40000.0</v>
      </c>
      <c r="M3" s="11"/>
      <c r="N3" s="7"/>
      <c r="O3" s="7"/>
      <c r="P3" s="13"/>
      <c r="Q3" s="22" t="s">
        <v>100</v>
      </c>
    </row>
    <row r="4" ht="22.5" customHeight="1">
      <c r="A4" s="6" t="s">
        <v>155</v>
      </c>
      <c r="B4" s="21" t="s">
        <v>96</v>
      </c>
      <c r="C4" s="22" t="s">
        <v>106</v>
      </c>
      <c r="D4" s="6" t="s">
        <v>315</v>
      </c>
      <c r="E4" s="5" t="s">
        <v>98</v>
      </c>
      <c r="F4" s="5" t="s">
        <v>316</v>
      </c>
      <c r="G4" s="7"/>
      <c r="H4" s="8"/>
      <c r="I4" s="5"/>
      <c r="J4" s="23">
        <v>46024.0</v>
      </c>
      <c r="K4" s="23">
        <v>46024.0</v>
      </c>
      <c r="L4" s="11">
        <v>50000.0</v>
      </c>
      <c r="M4" s="11"/>
      <c r="N4" s="7"/>
      <c r="O4" s="7"/>
      <c r="P4" s="13"/>
      <c r="Q4" s="22" t="s">
        <v>100</v>
      </c>
    </row>
    <row r="5" ht="22.5" customHeight="1">
      <c r="A5" s="5" t="s">
        <v>317</v>
      </c>
      <c r="B5" s="6" t="s">
        <v>105</v>
      </c>
      <c r="C5" s="22" t="s">
        <v>106</v>
      </c>
      <c r="D5" s="6" t="s">
        <v>318</v>
      </c>
      <c r="E5" s="5" t="s">
        <v>319</v>
      </c>
      <c r="F5" s="5" t="s">
        <v>320</v>
      </c>
      <c r="G5" s="7"/>
      <c r="H5" s="8"/>
      <c r="I5" s="5"/>
      <c r="J5" s="23">
        <v>46029.0</v>
      </c>
      <c r="K5" s="23">
        <v>46029.0</v>
      </c>
      <c r="L5" s="11">
        <v>120000.0</v>
      </c>
      <c r="M5" s="11">
        <v>49000.0</v>
      </c>
      <c r="N5" s="7"/>
      <c r="O5" s="7"/>
      <c r="P5" s="13"/>
      <c r="Q5" s="22" t="s">
        <v>100</v>
      </c>
    </row>
    <row r="6" ht="22.5" customHeight="1">
      <c r="A6" s="5" t="s">
        <v>321</v>
      </c>
      <c r="B6" s="6" t="s">
        <v>96</v>
      </c>
      <c r="C6" s="22" t="s">
        <v>106</v>
      </c>
      <c r="D6" s="6" t="s">
        <v>322</v>
      </c>
      <c r="E6" s="5" t="s">
        <v>323</v>
      </c>
      <c r="F6" s="5" t="s">
        <v>324</v>
      </c>
      <c r="G6" s="7"/>
      <c r="H6" s="8"/>
      <c r="I6" s="5"/>
      <c r="J6" s="23">
        <v>46028.0</v>
      </c>
      <c r="K6" s="23">
        <v>46029.0</v>
      </c>
      <c r="L6" s="11">
        <v>30000.0</v>
      </c>
      <c r="M6" s="6"/>
      <c r="N6" s="7"/>
      <c r="O6" s="7"/>
      <c r="P6" s="13"/>
      <c r="Q6" s="22" t="s">
        <v>100</v>
      </c>
    </row>
    <row r="7" ht="22.5" customHeight="1">
      <c r="A7" s="5" t="s">
        <v>321</v>
      </c>
      <c r="B7" s="6" t="s">
        <v>96</v>
      </c>
      <c r="C7" s="25" t="s">
        <v>106</v>
      </c>
      <c r="D7" s="6" t="s">
        <v>325</v>
      </c>
      <c r="E7" s="5" t="s">
        <v>326</v>
      </c>
      <c r="F7" s="5" t="s">
        <v>327</v>
      </c>
      <c r="G7" s="7"/>
      <c r="H7" s="8"/>
      <c r="I7" s="5"/>
      <c r="J7" s="23">
        <v>45664.0</v>
      </c>
      <c r="K7" s="23">
        <v>45664.0</v>
      </c>
      <c r="L7" s="11">
        <v>40000.0</v>
      </c>
      <c r="M7" s="6"/>
      <c r="N7" s="7"/>
      <c r="O7" s="7"/>
      <c r="P7" s="13"/>
      <c r="Q7" s="22" t="s">
        <v>100</v>
      </c>
    </row>
    <row r="8" ht="22.5" customHeight="1">
      <c r="A8" s="5" t="s">
        <v>328</v>
      </c>
      <c r="B8" s="21" t="s">
        <v>96</v>
      </c>
      <c r="C8" s="22" t="s">
        <v>106</v>
      </c>
      <c r="D8" s="6" t="s">
        <v>329</v>
      </c>
      <c r="E8" s="5" t="s">
        <v>330</v>
      </c>
      <c r="F8" s="5" t="s">
        <v>331</v>
      </c>
      <c r="G8" s="7"/>
      <c r="H8" s="8"/>
      <c r="I8" s="5" t="s">
        <v>332</v>
      </c>
      <c r="J8" s="23">
        <v>46027.0</v>
      </c>
      <c r="K8" s="23">
        <v>46030.0</v>
      </c>
      <c r="L8" s="11">
        <v>120000.0</v>
      </c>
      <c r="M8" s="6"/>
      <c r="N8" s="7"/>
      <c r="O8" s="7"/>
      <c r="P8" s="13"/>
      <c r="Q8" s="22" t="s">
        <v>100</v>
      </c>
    </row>
    <row r="9" ht="22.5" customHeight="1">
      <c r="A9" s="5" t="s">
        <v>333</v>
      </c>
      <c r="B9" s="21" t="s">
        <v>105</v>
      </c>
      <c r="C9" s="22" t="s">
        <v>106</v>
      </c>
      <c r="D9" s="6" t="s">
        <v>334</v>
      </c>
      <c r="E9" s="5" t="s">
        <v>335</v>
      </c>
      <c r="F9" s="5" t="s">
        <v>336</v>
      </c>
      <c r="G9" s="7"/>
      <c r="H9" s="8"/>
      <c r="I9" s="5" t="s">
        <v>337</v>
      </c>
      <c r="J9" s="23">
        <v>46029.0</v>
      </c>
      <c r="K9" s="23">
        <v>46031.0</v>
      </c>
      <c r="L9" s="6">
        <v>70000.0</v>
      </c>
      <c r="M9" s="6"/>
      <c r="N9" s="7"/>
      <c r="P9" s="7"/>
      <c r="Q9" s="22" t="s">
        <v>100</v>
      </c>
    </row>
    <row r="10" ht="22.5" customHeight="1">
      <c r="A10" s="5" t="s">
        <v>173</v>
      </c>
      <c r="B10" s="21" t="s">
        <v>105</v>
      </c>
      <c r="C10" s="22" t="s">
        <v>106</v>
      </c>
      <c r="D10" s="6" t="s">
        <v>338</v>
      </c>
      <c r="E10" s="5" t="s">
        <v>335</v>
      </c>
      <c r="F10" s="5" t="s">
        <v>339</v>
      </c>
      <c r="G10" s="7"/>
      <c r="H10" s="8"/>
      <c r="I10" s="5" t="s">
        <v>340</v>
      </c>
      <c r="J10" s="23">
        <v>46034.0</v>
      </c>
      <c r="K10" s="23">
        <v>46034.0</v>
      </c>
      <c r="L10" s="6">
        <v>50000.0</v>
      </c>
      <c r="M10" s="6">
        <v>0.0</v>
      </c>
      <c r="N10" s="7"/>
      <c r="O10" s="7"/>
      <c r="P10" s="7"/>
      <c r="Q10" s="22" t="s">
        <v>100</v>
      </c>
    </row>
    <row r="11" ht="22.5" customHeight="1">
      <c r="A11" s="5" t="s">
        <v>341</v>
      </c>
      <c r="B11" s="21" t="s">
        <v>105</v>
      </c>
      <c r="C11" s="22" t="s">
        <v>18</v>
      </c>
      <c r="D11" s="6" t="s">
        <v>342</v>
      </c>
      <c r="E11" s="5" t="s">
        <v>343</v>
      </c>
      <c r="F11" s="5" t="s">
        <v>344</v>
      </c>
      <c r="G11" s="7"/>
      <c r="H11" s="8"/>
      <c r="I11" s="5" t="s">
        <v>345</v>
      </c>
      <c r="J11" s="23">
        <v>46034.0</v>
      </c>
      <c r="K11" s="23">
        <v>46034.0</v>
      </c>
      <c r="L11" s="15">
        <v>120000.0</v>
      </c>
      <c r="M11" s="6">
        <v>38000.0</v>
      </c>
      <c r="N11" s="7"/>
      <c r="O11" s="7"/>
      <c r="P11" s="7"/>
      <c r="Q11" s="22" t="s">
        <v>100</v>
      </c>
    </row>
    <row r="12" ht="22.5" customHeight="1">
      <c r="A12" s="5" t="s">
        <v>346</v>
      </c>
      <c r="B12" s="21" t="s">
        <v>105</v>
      </c>
      <c r="C12" s="22" t="s">
        <v>106</v>
      </c>
      <c r="D12" s="6" t="s">
        <v>347</v>
      </c>
      <c r="E12" s="5" t="s">
        <v>348</v>
      </c>
      <c r="F12" s="5" t="s">
        <v>349</v>
      </c>
      <c r="G12" s="7"/>
      <c r="H12" s="8"/>
      <c r="I12" s="5"/>
      <c r="J12" s="23">
        <v>46034.0</v>
      </c>
      <c r="K12" s="23">
        <v>46035.0</v>
      </c>
      <c r="L12" s="6">
        <v>95000.0</v>
      </c>
      <c r="M12" s="6">
        <v>11000.0</v>
      </c>
      <c r="N12" s="7"/>
      <c r="O12" s="7"/>
      <c r="P12" s="7"/>
      <c r="Q12" s="22" t="s">
        <v>100</v>
      </c>
    </row>
    <row r="13" ht="22.5" customHeight="1">
      <c r="A13" s="5" t="s">
        <v>350</v>
      </c>
      <c r="B13" s="21" t="s">
        <v>96</v>
      </c>
      <c r="C13" s="22" t="s">
        <v>106</v>
      </c>
      <c r="D13" s="6" t="s">
        <v>351</v>
      </c>
      <c r="E13" s="5" t="s">
        <v>98</v>
      </c>
      <c r="F13" s="5" t="s">
        <v>352</v>
      </c>
      <c r="G13" s="7"/>
      <c r="H13" s="8"/>
      <c r="I13" s="5" t="s">
        <v>353</v>
      </c>
      <c r="J13" s="23">
        <v>46034.0</v>
      </c>
      <c r="K13" s="23">
        <v>46036.0</v>
      </c>
      <c r="L13" s="6">
        <v>90000.0</v>
      </c>
      <c r="M13" s="6">
        <v>0.0</v>
      </c>
      <c r="N13" s="7"/>
      <c r="O13" s="7"/>
      <c r="P13" s="7"/>
      <c r="Q13" s="22" t="s">
        <v>100</v>
      </c>
    </row>
    <row r="14" ht="22.5" customHeight="1">
      <c r="A14" s="5" t="s">
        <v>354</v>
      </c>
      <c r="B14" s="21" t="s">
        <v>105</v>
      </c>
      <c r="C14" s="22" t="s">
        <v>106</v>
      </c>
      <c r="D14" s="6" t="s">
        <v>355</v>
      </c>
      <c r="E14" s="5" t="s">
        <v>356</v>
      </c>
      <c r="F14" s="5" t="s">
        <v>357</v>
      </c>
      <c r="G14" s="7"/>
      <c r="H14" s="8"/>
      <c r="I14" s="5" t="s">
        <v>358</v>
      </c>
      <c r="J14" s="23">
        <v>46035.0</v>
      </c>
      <c r="K14" s="23">
        <v>46038.0</v>
      </c>
      <c r="L14" s="6">
        <v>30000.0</v>
      </c>
      <c r="M14" s="6">
        <v>0.0</v>
      </c>
      <c r="N14" s="7"/>
      <c r="O14" s="7"/>
      <c r="P14" s="7"/>
      <c r="Q14" s="22" t="s">
        <v>100</v>
      </c>
    </row>
    <row r="15" ht="22.5" customHeight="1">
      <c r="A15" s="5" t="s">
        <v>276</v>
      </c>
      <c r="B15" s="21" t="s">
        <v>96</v>
      </c>
      <c r="C15" s="22" t="s">
        <v>18</v>
      </c>
      <c r="D15" s="6" t="s">
        <v>359</v>
      </c>
      <c r="E15" s="5" t="s">
        <v>63</v>
      </c>
      <c r="F15" s="5" t="s">
        <v>360</v>
      </c>
      <c r="G15" s="7"/>
      <c r="H15" s="8"/>
      <c r="I15" s="5" t="s">
        <v>361</v>
      </c>
      <c r="J15" s="23">
        <v>46037.0</v>
      </c>
      <c r="K15" s="23">
        <v>46037.0</v>
      </c>
      <c r="L15" s="6">
        <v>100000.0</v>
      </c>
      <c r="M15" s="6">
        <v>35000.0</v>
      </c>
      <c r="N15" s="7"/>
      <c r="O15" s="7"/>
      <c r="P15" s="7"/>
      <c r="Q15" s="22" t="s">
        <v>100</v>
      </c>
    </row>
    <row r="16" ht="22.5" customHeight="1">
      <c r="A16" s="5" t="s">
        <v>362</v>
      </c>
      <c r="B16" s="21" t="s">
        <v>105</v>
      </c>
      <c r="C16" s="22" t="s">
        <v>106</v>
      </c>
      <c r="D16" s="6" t="s">
        <v>363</v>
      </c>
      <c r="E16" s="5" t="s">
        <v>364</v>
      </c>
      <c r="F16" s="5" t="s">
        <v>365</v>
      </c>
      <c r="G16" s="7"/>
      <c r="H16" s="8"/>
      <c r="I16" s="5" t="s">
        <v>366</v>
      </c>
      <c r="J16" s="23">
        <v>46038.0</v>
      </c>
      <c r="K16" s="23">
        <v>46039.0</v>
      </c>
      <c r="L16" s="6">
        <v>135000.0</v>
      </c>
      <c r="M16" s="6">
        <v>56000.0</v>
      </c>
      <c r="N16" s="7"/>
      <c r="O16" s="7"/>
      <c r="P16" s="7"/>
      <c r="Q16" s="22" t="s">
        <v>100</v>
      </c>
    </row>
    <row r="17" ht="22.5" customHeight="1">
      <c r="A17" s="5" t="s">
        <v>328</v>
      </c>
      <c r="B17" s="21" t="s">
        <v>96</v>
      </c>
      <c r="C17" s="22" t="s">
        <v>106</v>
      </c>
      <c r="D17" s="6" t="s">
        <v>367</v>
      </c>
      <c r="E17" s="5" t="s">
        <v>368</v>
      </c>
      <c r="F17" s="5" t="s">
        <v>369</v>
      </c>
      <c r="G17" s="7"/>
      <c r="H17" s="8"/>
      <c r="I17" s="8"/>
      <c r="J17" s="23">
        <v>46038.0</v>
      </c>
      <c r="K17" s="23">
        <v>46041.0</v>
      </c>
      <c r="L17" s="6">
        <v>90000.0</v>
      </c>
      <c r="M17" s="6">
        <v>0.0</v>
      </c>
      <c r="N17" s="7"/>
      <c r="O17" s="7"/>
      <c r="P17" s="7"/>
      <c r="Q17" s="22" t="s">
        <v>100</v>
      </c>
    </row>
    <row r="18" ht="22.5" customHeight="1">
      <c r="A18" s="5" t="s">
        <v>370</v>
      </c>
      <c r="B18" s="6" t="s">
        <v>105</v>
      </c>
      <c r="C18" s="22" t="s">
        <v>106</v>
      </c>
      <c r="D18" s="6" t="s">
        <v>371</v>
      </c>
      <c r="E18" s="5" t="s">
        <v>372</v>
      </c>
      <c r="F18" s="5" t="s">
        <v>373</v>
      </c>
      <c r="G18" s="7"/>
      <c r="H18" s="8"/>
      <c r="I18" s="8"/>
      <c r="J18" s="23">
        <v>46038.0</v>
      </c>
      <c r="K18" s="23">
        <v>46039.0</v>
      </c>
      <c r="L18" s="6">
        <v>80000.0</v>
      </c>
      <c r="M18" s="6">
        <v>0.0</v>
      </c>
      <c r="N18" s="7"/>
      <c r="O18" s="7"/>
      <c r="P18" s="7"/>
      <c r="Q18" s="22" t="s">
        <v>100</v>
      </c>
    </row>
    <row r="19" ht="22.5" customHeight="1">
      <c r="A19" s="5" t="s">
        <v>374</v>
      </c>
      <c r="B19" s="21" t="s">
        <v>130</v>
      </c>
      <c r="C19" s="22" t="s">
        <v>18</v>
      </c>
      <c r="D19" s="6" t="s">
        <v>375</v>
      </c>
      <c r="E19" s="5" t="s">
        <v>376</v>
      </c>
      <c r="F19" s="5" t="s">
        <v>377</v>
      </c>
      <c r="G19" s="7"/>
      <c r="H19" s="8"/>
      <c r="I19" s="8"/>
      <c r="J19" s="23">
        <v>46041.0</v>
      </c>
      <c r="K19" s="23">
        <v>46041.0</v>
      </c>
      <c r="L19" s="6">
        <v>50000.0</v>
      </c>
      <c r="M19" s="6">
        <v>10000.0</v>
      </c>
      <c r="N19" s="7"/>
      <c r="O19" s="7"/>
      <c r="P19" s="7"/>
      <c r="Q19" s="22" t="s">
        <v>100</v>
      </c>
    </row>
    <row r="20" ht="22.5" customHeight="1">
      <c r="A20" s="5" t="s">
        <v>378</v>
      </c>
      <c r="B20" s="21" t="s">
        <v>105</v>
      </c>
      <c r="C20" s="22" t="s">
        <v>106</v>
      </c>
      <c r="D20" s="6" t="s">
        <v>379</v>
      </c>
      <c r="E20" s="5" t="s">
        <v>326</v>
      </c>
      <c r="F20" s="5" t="s">
        <v>380</v>
      </c>
      <c r="G20" s="7"/>
      <c r="H20" s="8"/>
      <c r="I20" s="8"/>
      <c r="J20" s="23">
        <v>46038.0</v>
      </c>
      <c r="K20" s="23">
        <v>46042.0</v>
      </c>
      <c r="L20" s="6">
        <v>120000.0</v>
      </c>
      <c r="M20" s="6">
        <v>24000.0</v>
      </c>
      <c r="N20" s="7"/>
      <c r="O20" s="7"/>
      <c r="P20" s="7"/>
      <c r="Q20" s="22" t="s">
        <v>100</v>
      </c>
    </row>
    <row r="21" ht="22.5" customHeight="1">
      <c r="A21" s="26" t="s">
        <v>374</v>
      </c>
      <c r="B21" s="21" t="s">
        <v>130</v>
      </c>
      <c r="C21" s="22" t="s">
        <v>106</v>
      </c>
      <c r="D21" s="6" t="s">
        <v>381</v>
      </c>
      <c r="E21" s="5" t="s">
        <v>382</v>
      </c>
      <c r="F21" s="5" t="s">
        <v>383</v>
      </c>
      <c r="G21" s="7"/>
      <c r="H21" s="8"/>
      <c r="I21" s="5" t="s">
        <v>384</v>
      </c>
      <c r="J21" s="23">
        <v>46043.0</v>
      </c>
      <c r="K21" s="23">
        <v>46043.0</v>
      </c>
      <c r="L21" s="6">
        <v>120000.0</v>
      </c>
      <c r="M21" s="6">
        <v>0.0</v>
      </c>
      <c r="N21" s="7"/>
      <c r="O21" s="7"/>
      <c r="P21" s="7"/>
      <c r="Q21" s="22" t="s">
        <v>100</v>
      </c>
    </row>
    <row r="22" ht="22.5" customHeight="1">
      <c r="A22" s="5" t="s">
        <v>374</v>
      </c>
      <c r="B22" s="21" t="s">
        <v>130</v>
      </c>
      <c r="C22" s="22" t="s">
        <v>106</v>
      </c>
      <c r="D22" s="6" t="s">
        <v>385</v>
      </c>
      <c r="E22" s="5" t="s">
        <v>386</v>
      </c>
      <c r="F22" s="5" t="s">
        <v>387</v>
      </c>
      <c r="G22" s="7"/>
      <c r="H22" s="8"/>
      <c r="I22" s="5"/>
      <c r="J22" s="23">
        <v>46045.0</v>
      </c>
      <c r="K22" s="23">
        <v>46045.0</v>
      </c>
      <c r="L22" s="6">
        <v>50000.0</v>
      </c>
      <c r="M22" s="6">
        <v>0.0</v>
      </c>
      <c r="N22" s="7"/>
      <c r="O22" s="7"/>
      <c r="P22" s="7"/>
      <c r="Q22" s="22" t="s">
        <v>100</v>
      </c>
    </row>
    <row r="23" ht="22.5" customHeight="1">
      <c r="A23" s="5" t="s">
        <v>276</v>
      </c>
      <c r="B23" s="21" t="s">
        <v>96</v>
      </c>
      <c r="C23" s="22" t="s">
        <v>106</v>
      </c>
      <c r="D23" s="6" t="s">
        <v>388</v>
      </c>
      <c r="E23" s="5" t="s">
        <v>389</v>
      </c>
      <c r="F23" s="5" t="s">
        <v>390</v>
      </c>
      <c r="G23" s="7"/>
      <c r="H23" s="8"/>
      <c r="I23" s="5"/>
      <c r="J23" s="23">
        <v>46045.0</v>
      </c>
      <c r="K23" s="23">
        <v>46045.0</v>
      </c>
      <c r="L23" s="6">
        <v>30000.0</v>
      </c>
      <c r="M23" s="6"/>
      <c r="N23" s="7"/>
      <c r="O23" s="7"/>
      <c r="P23" s="7"/>
      <c r="Q23" s="22" t="s">
        <v>100</v>
      </c>
    </row>
    <row r="24" ht="22.5" customHeight="1">
      <c r="A24" s="5" t="s">
        <v>391</v>
      </c>
      <c r="B24" s="21" t="s">
        <v>105</v>
      </c>
      <c r="C24" s="22" t="s">
        <v>106</v>
      </c>
      <c r="D24" s="6" t="s">
        <v>392</v>
      </c>
      <c r="E24" s="5" t="s">
        <v>393</v>
      </c>
      <c r="F24" s="5" t="s">
        <v>394</v>
      </c>
      <c r="G24" s="7"/>
      <c r="H24" s="8"/>
      <c r="I24" s="8"/>
      <c r="J24" s="23">
        <v>46045.0</v>
      </c>
      <c r="K24" s="23">
        <v>46045.0</v>
      </c>
      <c r="L24" s="6">
        <v>60000.0</v>
      </c>
      <c r="M24" s="6">
        <v>0.0</v>
      </c>
      <c r="N24" s="7"/>
      <c r="O24" s="7"/>
      <c r="P24" s="7"/>
      <c r="Q24" s="22" t="s">
        <v>100</v>
      </c>
    </row>
    <row r="25" ht="22.5" customHeight="1">
      <c r="A25" s="5" t="s">
        <v>391</v>
      </c>
      <c r="B25" s="21" t="s">
        <v>105</v>
      </c>
      <c r="C25" s="22" t="s">
        <v>106</v>
      </c>
      <c r="D25" s="6" t="s">
        <v>392</v>
      </c>
      <c r="E25" s="5" t="s">
        <v>395</v>
      </c>
      <c r="F25" s="5" t="s">
        <v>396</v>
      </c>
      <c r="G25" s="7"/>
      <c r="H25" s="8"/>
      <c r="I25" s="8"/>
      <c r="J25" s="23">
        <v>46048.0</v>
      </c>
      <c r="K25" s="23">
        <v>46048.0</v>
      </c>
      <c r="L25" s="6">
        <v>60000.0</v>
      </c>
      <c r="M25" s="6">
        <v>0.0</v>
      </c>
      <c r="N25" s="7"/>
      <c r="O25" s="7"/>
      <c r="P25" s="7"/>
      <c r="Q25" s="22" t="s">
        <v>100</v>
      </c>
    </row>
    <row r="26" ht="22.5" customHeight="1">
      <c r="A26" s="5" t="s">
        <v>397</v>
      </c>
      <c r="B26" s="21" t="s">
        <v>96</v>
      </c>
      <c r="C26" s="22" t="s">
        <v>18</v>
      </c>
      <c r="D26" s="6" t="s">
        <v>398</v>
      </c>
      <c r="E26" s="5" t="s">
        <v>399</v>
      </c>
      <c r="F26" s="5" t="s">
        <v>400</v>
      </c>
      <c r="G26" s="7"/>
      <c r="H26" s="8"/>
      <c r="I26" s="8"/>
      <c r="J26" s="23">
        <v>46048.0</v>
      </c>
      <c r="K26" s="23">
        <v>46049.0</v>
      </c>
      <c r="L26" s="6">
        <v>90000.0</v>
      </c>
      <c r="M26" s="6">
        <v>14000.0</v>
      </c>
      <c r="N26" s="7"/>
      <c r="O26" s="7"/>
      <c r="P26" s="7"/>
      <c r="Q26" s="22" t="s">
        <v>100</v>
      </c>
    </row>
    <row r="27" ht="22.5" customHeight="1">
      <c r="A27" s="5" t="s">
        <v>401</v>
      </c>
      <c r="B27" s="21" t="s">
        <v>96</v>
      </c>
      <c r="C27" s="22" t="s">
        <v>106</v>
      </c>
      <c r="D27" s="6" t="s">
        <v>402</v>
      </c>
      <c r="E27" s="5" t="s">
        <v>323</v>
      </c>
      <c r="F27" s="5" t="s">
        <v>403</v>
      </c>
      <c r="G27" s="7"/>
      <c r="H27" s="8"/>
      <c r="I27" s="5" t="s">
        <v>404</v>
      </c>
      <c r="J27" s="23">
        <v>46044.0</v>
      </c>
      <c r="K27" s="23">
        <v>46048.0</v>
      </c>
      <c r="L27" s="6">
        <v>0.0</v>
      </c>
      <c r="M27" s="6"/>
      <c r="N27" s="7"/>
      <c r="O27" s="7"/>
      <c r="P27" s="7"/>
      <c r="Q27" s="22" t="s">
        <v>100</v>
      </c>
    </row>
    <row r="28" ht="22.5" customHeight="1">
      <c r="A28" s="5" t="s">
        <v>405</v>
      </c>
      <c r="B28" s="21" t="s">
        <v>96</v>
      </c>
      <c r="C28" s="22" t="s">
        <v>106</v>
      </c>
      <c r="D28" s="6" t="s">
        <v>406</v>
      </c>
      <c r="E28" s="5" t="s">
        <v>98</v>
      </c>
      <c r="F28" s="5" t="s">
        <v>407</v>
      </c>
      <c r="G28" s="7"/>
      <c r="H28" s="8"/>
      <c r="I28" s="8"/>
      <c r="J28" s="23">
        <v>46048.0</v>
      </c>
      <c r="K28" s="23">
        <v>46051.0</v>
      </c>
      <c r="L28" s="6">
        <v>70000.0</v>
      </c>
      <c r="M28" s="6">
        <v>0.0</v>
      </c>
      <c r="N28" s="7"/>
      <c r="O28" s="7"/>
      <c r="P28" s="7"/>
      <c r="Q28" s="22" t="s">
        <v>100</v>
      </c>
    </row>
    <row r="29" ht="22.5" customHeight="1">
      <c r="A29" s="5" t="s">
        <v>155</v>
      </c>
      <c r="B29" s="21" t="s">
        <v>96</v>
      </c>
      <c r="C29" s="22" t="s">
        <v>106</v>
      </c>
      <c r="D29" s="15" t="s">
        <v>408</v>
      </c>
      <c r="E29" s="5" t="s">
        <v>409</v>
      </c>
      <c r="F29" s="5" t="s">
        <v>410</v>
      </c>
      <c r="G29" s="7"/>
      <c r="H29" s="8"/>
      <c r="I29" s="5" t="s">
        <v>411</v>
      </c>
      <c r="J29" s="23">
        <v>46037.0</v>
      </c>
      <c r="K29" s="23">
        <v>46043.0</v>
      </c>
      <c r="L29" s="6">
        <v>0.0</v>
      </c>
      <c r="M29" s="6"/>
      <c r="N29" s="7"/>
      <c r="O29" s="7"/>
      <c r="P29" s="7"/>
      <c r="Q29" s="22" t="s">
        <v>161</v>
      </c>
    </row>
    <row r="30" ht="22.5" customHeight="1">
      <c r="A30" s="5" t="s">
        <v>269</v>
      </c>
      <c r="B30" s="21" t="s">
        <v>96</v>
      </c>
      <c r="C30" s="22" t="s">
        <v>106</v>
      </c>
      <c r="D30" s="6" t="s">
        <v>412</v>
      </c>
      <c r="E30" s="5" t="s">
        <v>413</v>
      </c>
      <c r="F30" s="5" t="s">
        <v>414</v>
      </c>
      <c r="G30" s="7"/>
      <c r="H30" s="8"/>
      <c r="I30" s="8"/>
      <c r="J30" s="23">
        <v>46045.0</v>
      </c>
      <c r="K30" s="23">
        <v>46051.0</v>
      </c>
      <c r="L30" s="6">
        <v>260000.0</v>
      </c>
      <c r="M30" s="6">
        <v>30000.0</v>
      </c>
      <c r="N30" s="7"/>
      <c r="O30" s="7"/>
      <c r="P30" s="7"/>
      <c r="Q30" s="22" t="s">
        <v>100</v>
      </c>
    </row>
    <row r="31" ht="22.5" customHeight="1">
      <c r="A31" s="5" t="s">
        <v>415</v>
      </c>
      <c r="B31" s="21" t="s">
        <v>105</v>
      </c>
      <c r="C31" s="22" t="s">
        <v>106</v>
      </c>
      <c r="D31" s="6" t="s">
        <v>416</v>
      </c>
      <c r="E31" s="5" t="s">
        <v>393</v>
      </c>
      <c r="F31" s="5" t="s">
        <v>417</v>
      </c>
      <c r="G31" s="7"/>
      <c r="H31" s="8"/>
      <c r="I31" s="8"/>
      <c r="J31" s="23">
        <v>46050.0</v>
      </c>
      <c r="K31" s="23">
        <v>46051.0</v>
      </c>
      <c r="L31" s="6">
        <v>45000.0</v>
      </c>
      <c r="M31" s="6">
        <v>0.0</v>
      </c>
      <c r="N31" s="7"/>
      <c r="O31" s="7"/>
      <c r="P31" s="7"/>
      <c r="Q31" s="22" t="s">
        <v>100</v>
      </c>
    </row>
    <row r="32" ht="22.5" customHeight="1">
      <c r="A32" s="5" t="s">
        <v>418</v>
      </c>
      <c r="B32" s="21" t="s">
        <v>105</v>
      </c>
      <c r="C32" s="22" t="s">
        <v>106</v>
      </c>
      <c r="D32" s="6" t="s">
        <v>419</v>
      </c>
      <c r="E32" s="5" t="s">
        <v>420</v>
      </c>
      <c r="F32" s="5" t="s">
        <v>421</v>
      </c>
      <c r="G32" s="7"/>
      <c r="H32" s="8"/>
      <c r="I32" s="8"/>
      <c r="J32" s="23">
        <v>46051.0</v>
      </c>
      <c r="K32" s="23">
        <v>46051.0</v>
      </c>
      <c r="L32" s="6">
        <v>50000.0</v>
      </c>
      <c r="M32" s="6">
        <v>0.0</v>
      </c>
      <c r="N32" s="7"/>
      <c r="O32" s="7"/>
      <c r="P32" s="7"/>
      <c r="Q32" s="22" t="s">
        <v>100</v>
      </c>
    </row>
    <row r="33" ht="22.5" customHeight="1">
      <c r="A33" s="5" t="s">
        <v>422</v>
      </c>
      <c r="B33" s="21" t="s">
        <v>105</v>
      </c>
      <c r="C33" s="22" t="s">
        <v>106</v>
      </c>
      <c r="D33" s="6" t="s">
        <v>423</v>
      </c>
      <c r="E33" s="5" t="s">
        <v>424</v>
      </c>
      <c r="F33" s="5" t="s">
        <v>425</v>
      </c>
      <c r="G33" s="7"/>
      <c r="H33" s="8"/>
      <c r="I33" s="8"/>
      <c r="J33" s="23">
        <v>46049.0</v>
      </c>
      <c r="K33" s="23">
        <v>46050.0</v>
      </c>
      <c r="L33" s="6">
        <v>290000.0</v>
      </c>
      <c r="M33" s="6">
        <v>20000.0</v>
      </c>
      <c r="N33" s="7"/>
      <c r="O33" s="7"/>
      <c r="P33" s="7"/>
      <c r="Q33" s="22" t="s">
        <v>100</v>
      </c>
    </row>
    <row r="34" ht="22.5" customHeight="1">
      <c r="A34" s="5" t="s">
        <v>426</v>
      </c>
      <c r="B34" s="21" t="s">
        <v>105</v>
      </c>
      <c r="C34" s="22" t="s">
        <v>106</v>
      </c>
      <c r="D34" s="15" t="s">
        <v>427</v>
      </c>
      <c r="E34" s="6" t="s">
        <v>428</v>
      </c>
      <c r="F34" s="5" t="s">
        <v>429</v>
      </c>
      <c r="G34" s="7"/>
      <c r="H34" s="8"/>
      <c r="I34" s="5" t="s">
        <v>430</v>
      </c>
      <c r="J34" s="23">
        <v>46052.0</v>
      </c>
      <c r="K34" s="23">
        <v>46052.0</v>
      </c>
      <c r="L34" s="6">
        <v>194000.0</v>
      </c>
      <c r="M34" s="6">
        <v>55000.0</v>
      </c>
      <c r="N34" s="7"/>
      <c r="O34" s="7"/>
      <c r="P34" s="7"/>
      <c r="Q34" s="22" t="s">
        <v>100</v>
      </c>
    </row>
    <row r="35" ht="22.5" customHeight="1">
      <c r="A35" s="5" t="s">
        <v>431</v>
      </c>
      <c r="B35" s="21" t="s">
        <v>105</v>
      </c>
      <c r="C35" s="22" t="s">
        <v>106</v>
      </c>
      <c r="D35" s="6" t="s">
        <v>432</v>
      </c>
      <c r="E35" s="5" t="s">
        <v>433</v>
      </c>
      <c r="F35" s="5" t="s">
        <v>434</v>
      </c>
      <c r="G35" s="7"/>
      <c r="H35" s="8"/>
      <c r="I35" s="8"/>
      <c r="J35" s="23">
        <v>46053.0</v>
      </c>
      <c r="K35" s="23">
        <v>46053.0</v>
      </c>
      <c r="L35" s="6">
        <v>250000.0</v>
      </c>
      <c r="M35" s="6">
        <v>10000.0</v>
      </c>
      <c r="N35" s="7"/>
      <c r="O35" s="7"/>
      <c r="P35" s="7"/>
      <c r="Q35" s="22" t="s">
        <v>100</v>
      </c>
    </row>
  </sheetData>
  <dataValidations>
    <dataValidation type="list" allowBlank="1" sqref="B2:B35">
      <formula1>"taller,final,agencia"</formula1>
    </dataValidation>
    <dataValidation type="list" allowBlank="1" sqref="C2:C35">
      <formula1>"rep ecu,diagnostico,cerrajeria"</formula1>
    </dataValidation>
    <dataValidation type="custom" allowBlank="1" showDropDown="1" sqref="J2:K35">
      <formula1>OR(NOT(ISERROR(DATEVALUE(J2))), AND(ISNUMBER(J2), LEFT(CELL("format", J2))="D"))</formula1>
    </dataValidation>
    <dataValidation allowBlank="1" showDropDown="1" sqref="A2:A35 H2:I35"/>
    <dataValidation type="list" allowBlank="1" sqref="Q2:Q35">
      <formula1>"no,si"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9.13"/>
    <col customWidth="1" min="3" max="3" width="19.88"/>
    <col customWidth="1" min="4" max="4" width="22.63"/>
    <col customWidth="1" min="5" max="6" width="31.0"/>
    <col customWidth="1" min="7" max="7" width="15.25"/>
    <col customWidth="1" min="8" max="8" width="12.25"/>
    <col customWidth="1" min="9" max="9" width="22.63"/>
    <col customWidth="1" min="10" max="10" width="20.13"/>
    <col customWidth="1" min="11" max="11" width="17.5"/>
    <col customWidth="1" min="12" max="12" width="17.0"/>
    <col customWidth="1" min="17" max="17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8" t="s">
        <v>89</v>
      </c>
    </row>
    <row r="2" ht="22.5" customHeight="1">
      <c r="A2" s="29" t="s">
        <v>435</v>
      </c>
      <c r="B2" s="30" t="s">
        <v>96</v>
      </c>
      <c r="C2" s="31" t="s">
        <v>18</v>
      </c>
      <c r="D2" s="32" t="s">
        <v>436</v>
      </c>
      <c r="E2" s="33" t="s">
        <v>98</v>
      </c>
      <c r="F2" s="33" t="s">
        <v>437</v>
      </c>
      <c r="G2" s="34"/>
      <c r="H2" s="35"/>
      <c r="I2" s="35"/>
      <c r="J2" s="39">
        <v>45994.0</v>
      </c>
      <c r="K2" s="39">
        <v>45994.0</v>
      </c>
      <c r="L2" s="37">
        <v>230000.0</v>
      </c>
      <c r="M2" s="11">
        <v>15000.0</v>
      </c>
      <c r="N2" s="12">
        <f t="shared" ref="N2:O2" si="1">SUM(L2:L33)</f>
        <v>1440000</v>
      </c>
      <c r="O2" s="12">
        <f t="shared" si="1"/>
        <v>135000</v>
      </c>
      <c r="P2" s="12">
        <f>SUM(N2-O2)</f>
        <v>1305000</v>
      </c>
      <c r="Q2" s="22"/>
    </row>
    <row r="3" ht="22.5" customHeight="1">
      <c r="A3" s="6" t="s">
        <v>438</v>
      </c>
      <c r="B3" s="21" t="s">
        <v>105</v>
      </c>
      <c r="C3" s="22" t="s">
        <v>106</v>
      </c>
      <c r="D3" s="6" t="s">
        <v>439</v>
      </c>
      <c r="E3" s="5" t="s">
        <v>440</v>
      </c>
      <c r="F3" s="5" t="s">
        <v>441</v>
      </c>
      <c r="G3" s="7"/>
      <c r="H3" s="8"/>
      <c r="I3" s="5" t="s">
        <v>442</v>
      </c>
      <c r="J3" s="9">
        <v>45995.0</v>
      </c>
      <c r="K3" s="10"/>
      <c r="L3" s="11">
        <v>60000.0</v>
      </c>
      <c r="M3" s="11"/>
      <c r="N3" s="7"/>
      <c r="O3" s="7"/>
      <c r="P3" s="13"/>
      <c r="Q3" s="22"/>
    </row>
    <row r="4" ht="22.5" customHeight="1">
      <c r="A4" s="6" t="s">
        <v>443</v>
      </c>
      <c r="B4" s="21" t="s">
        <v>105</v>
      </c>
      <c r="C4" s="22" t="s">
        <v>106</v>
      </c>
      <c r="D4" s="6" t="s">
        <v>444</v>
      </c>
      <c r="E4" s="5" t="s">
        <v>175</v>
      </c>
      <c r="F4" s="5" t="s">
        <v>445</v>
      </c>
      <c r="G4" s="7"/>
      <c r="H4" s="8"/>
      <c r="I4" s="5"/>
      <c r="J4" s="9">
        <v>46000.0</v>
      </c>
      <c r="K4" s="10">
        <v>46001.0</v>
      </c>
      <c r="L4" s="11">
        <v>160000.0</v>
      </c>
      <c r="M4" s="11">
        <v>40000.0</v>
      </c>
      <c r="N4" s="7"/>
      <c r="O4" s="7"/>
      <c r="P4" s="13"/>
      <c r="Q4" s="22"/>
    </row>
    <row r="5" ht="22.5" customHeight="1">
      <c r="A5" s="5" t="s">
        <v>446</v>
      </c>
      <c r="B5" s="6" t="s">
        <v>105</v>
      </c>
      <c r="C5" s="22" t="s">
        <v>106</v>
      </c>
      <c r="D5" s="6" t="s">
        <v>125</v>
      </c>
      <c r="E5" s="5" t="s">
        <v>447</v>
      </c>
      <c r="F5" s="5" t="s">
        <v>448</v>
      </c>
      <c r="G5" s="7"/>
      <c r="H5" s="8"/>
      <c r="I5" s="5"/>
      <c r="J5" s="10">
        <v>45997.0</v>
      </c>
      <c r="K5" s="9">
        <v>46000.0</v>
      </c>
      <c r="L5" s="11">
        <v>90000.0</v>
      </c>
      <c r="M5" s="11">
        <v>16000.0</v>
      </c>
      <c r="N5" s="7"/>
      <c r="O5" s="7"/>
      <c r="P5" s="13"/>
      <c r="Q5" s="22"/>
    </row>
    <row r="6" ht="22.5" customHeight="1">
      <c r="A6" s="5" t="s">
        <v>449</v>
      </c>
      <c r="B6" s="6" t="s">
        <v>105</v>
      </c>
      <c r="C6" s="22" t="s">
        <v>18</v>
      </c>
      <c r="D6" s="6" t="s">
        <v>450</v>
      </c>
      <c r="E6" s="5"/>
      <c r="F6" s="5" t="s">
        <v>451</v>
      </c>
      <c r="G6" s="7"/>
      <c r="H6" s="8"/>
      <c r="I6" s="5"/>
      <c r="J6" s="9">
        <v>46002.0</v>
      </c>
      <c r="K6" s="9">
        <v>46002.0</v>
      </c>
      <c r="L6" s="11">
        <v>50000.0</v>
      </c>
      <c r="M6" s="6">
        <v>2000.0</v>
      </c>
      <c r="N6" s="7"/>
      <c r="O6" s="7"/>
      <c r="P6" s="13"/>
      <c r="Q6" s="22"/>
    </row>
    <row r="7" ht="22.5" customHeight="1">
      <c r="A7" s="5" t="s">
        <v>452</v>
      </c>
      <c r="B7" s="6" t="s">
        <v>105</v>
      </c>
      <c r="C7" s="25" t="s">
        <v>106</v>
      </c>
      <c r="D7" s="6" t="s">
        <v>432</v>
      </c>
      <c r="E7" s="5" t="s">
        <v>453</v>
      </c>
      <c r="F7" s="5" t="s">
        <v>41</v>
      </c>
      <c r="G7" s="7"/>
      <c r="H7" s="8"/>
      <c r="I7" s="5" t="s">
        <v>454</v>
      </c>
      <c r="J7" s="9">
        <v>46001.0</v>
      </c>
      <c r="K7" s="9">
        <v>46001.0</v>
      </c>
      <c r="L7" s="11">
        <v>50000.0</v>
      </c>
      <c r="M7" s="6">
        <v>0.0</v>
      </c>
      <c r="N7" s="7"/>
      <c r="O7" s="7"/>
      <c r="P7" s="13"/>
      <c r="Q7" s="22"/>
    </row>
    <row r="8" ht="22.5" customHeight="1">
      <c r="A8" s="5" t="s">
        <v>455</v>
      </c>
      <c r="B8" s="21" t="s">
        <v>105</v>
      </c>
      <c r="C8" s="22" t="s">
        <v>106</v>
      </c>
      <c r="D8" s="6" t="s">
        <v>456</v>
      </c>
      <c r="E8" s="5" t="s">
        <v>457</v>
      </c>
      <c r="F8" s="5" t="s">
        <v>458</v>
      </c>
      <c r="G8" s="7"/>
      <c r="H8" s="8"/>
      <c r="I8" s="5"/>
      <c r="J8" s="9">
        <v>45998.0</v>
      </c>
      <c r="K8" s="9">
        <v>45999.0</v>
      </c>
      <c r="L8" s="11">
        <v>60000.0</v>
      </c>
      <c r="M8" s="6">
        <v>20000.0</v>
      </c>
      <c r="N8" s="7"/>
      <c r="O8" s="7"/>
      <c r="P8" s="13"/>
      <c r="Q8" s="22"/>
    </row>
    <row r="9" ht="22.5" customHeight="1">
      <c r="A9" s="5" t="s">
        <v>459</v>
      </c>
      <c r="B9" s="21" t="s">
        <v>105</v>
      </c>
      <c r="C9" s="22" t="s">
        <v>106</v>
      </c>
      <c r="D9" s="6" t="s">
        <v>460</v>
      </c>
      <c r="E9" s="5" t="s">
        <v>461</v>
      </c>
      <c r="F9" s="5" t="s">
        <v>462</v>
      </c>
      <c r="G9" s="7"/>
      <c r="H9" s="8"/>
      <c r="I9" s="5" t="s">
        <v>463</v>
      </c>
      <c r="J9" s="40">
        <v>46001.0</v>
      </c>
      <c r="K9" s="14">
        <v>46003.0</v>
      </c>
      <c r="L9" s="6">
        <v>150000.0</v>
      </c>
      <c r="M9" s="6">
        <v>0.0</v>
      </c>
      <c r="N9" s="7"/>
      <c r="P9" s="7"/>
      <c r="Q9" s="22"/>
    </row>
    <row r="10" ht="22.5" customHeight="1">
      <c r="A10" s="5" t="s">
        <v>438</v>
      </c>
      <c r="B10" s="21" t="s">
        <v>105</v>
      </c>
      <c r="C10" s="22" t="s">
        <v>106</v>
      </c>
      <c r="D10" s="6" t="s">
        <v>464</v>
      </c>
      <c r="E10" s="5" t="s">
        <v>465</v>
      </c>
      <c r="F10" s="5" t="s">
        <v>466</v>
      </c>
      <c r="G10" s="7"/>
      <c r="H10" s="8"/>
      <c r="I10" s="5"/>
      <c r="J10" s="9">
        <v>46003.0</v>
      </c>
      <c r="K10" s="9">
        <v>46003.0</v>
      </c>
      <c r="L10" s="6">
        <v>50000.0</v>
      </c>
      <c r="M10" s="6"/>
      <c r="N10" s="7"/>
      <c r="O10" s="7"/>
      <c r="P10" s="7"/>
      <c r="Q10" s="22"/>
    </row>
    <row r="11" ht="22.5" customHeight="1">
      <c r="A11" s="5" t="s">
        <v>467</v>
      </c>
      <c r="B11" s="21" t="s">
        <v>130</v>
      </c>
      <c r="C11" s="22" t="s">
        <v>18</v>
      </c>
      <c r="D11" s="6" t="s">
        <v>468</v>
      </c>
      <c r="E11" s="5"/>
      <c r="F11" s="5" t="s">
        <v>153</v>
      </c>
      <c r="G11" s="7"/>
      <c r="H11" s="8"/>
      <c r="I11" s="5"/>
      <c r="J11" s="9">
        <v>46010.0</v>
      </c>
      <c r="K11" s="9">
        <v>46010.0</v>
      </c>
      <c r="L11" s="15">
        <v>30000.0</v>
      </c>
      <c r="M11" s="6">
        <v>7000.0</v>
      </c>
      <c r="N11" s="7"/>
      <c r="O11" s="7"/>
      <c r="P11" s="7"/>
      <c r="Q11" s="22"/>
    </row>
    <row r="12" ht="22.5" customHeight="1">
      <c r="A12" s="5" t="s">
        <v>155</v>
      </c>
      <c r="B12" s="21" t="s">
        <v>96</v>
      </c>
      <c r="C12" s="22" t="s">
        <v>106</v>
      </c>
      <c r="D12" s="6" t="s">
        <v>469</v>
      </c>
      <c r="E12" s="5" t="s">
        <v>323</v>
      </c>
      <c r="F12" s="5" t="s">
        <v>470</v>
      </c>
      <c r="G12" s="7"/>
      <c r="H12" s="8"/>
      <c r="I12" s="5" t="s">
        <v>471</v>
      </c>
      <c r="J12" s="9">
        <v>46010.0</v>
      </c>
      <c r="K12" s="9">
        <v>46010.0</v>
      </c>
      <c r="L12" s="6">
        <v>90000.0</v>
      </c>
      <c r="M12" s="6">
        <v>0.0</v>
      </c>
      <c r="N12" s="7"/>
      <c r="O12" s="7"/>
      <c r="P12" s="7"/>
      <c r="Q12" s="22"/>
    </row>
    <row r="13" ht="22.5" customHeight="1">
      <c r="A13" s="5" t="s">
        <v>472</v>
      </c>
      <c r="B13" s="21" t="s">
        <v>105</v>
      </c>
      <c r="C13" s="22" t="s">
        <v>18</v>
      </c>
      <c r="D13" s="6" t="s">
        <v>473</v>
      </c>
      <c r="E13" s="5" t="s">
        <v>474</v>
      </c>
      <c r="F13" s="5" t="s">
        <v>475</v>
      </c>
      <c r="G13" s="7"/>
      <c r="H13" s="8"/>
      <c r="I13" s="8"/>
      <c r="J13" s="40">
        <v>46009.0</v>
      </c>
      <c r="K13" s="40">
        <v>46009.0</v>
      </c>
      <c r="L13" s="6">
        <v>30000.0</v>
      </c>
      <c r="M13" s="6">
        <v>0.0</v>
      </c>
      <c r="N13" s="7"/>
      <c r="O13" s="7"/>
      <c r="P13" s="7"/>
      <c r="Q13" s="22"/>
    </row>
    <row r="14" ht="22.5" customHeight="1">
      <c r="A14" s="5" t="s">
        <v>269</v>
      </c>
      <c r="B14" s="21" t="s">
        <v>96</v>
      </c>
      <c r="C14" s="22" t="s">
        <v>106</v>
      </c>
      <c r="D14" s="6" t="s">
        <v>476</v>
      </c>
      <c r="E14" s="5" t="s">
        <v>477</v>
      </c>
      <c r="F14" s="5" t="s">
        <v>478</v>
      </c>
      <c r="G14" s="7"/>
      <c r="H14" s="8"/>
      <c r="I14" s="5"/>
      <c r="J14" s="16">
        <v>46011.0</v>
      </c>
      <c r="K14" s="16">
        <v>46011.0</v>
      </c>
      <c r="L14" s="6">
        <v>100000.0</v>
      </c>
      <c r="M14" s="6">
        <v>0.0</v>
      </c>
      <c r="N14" s="7"/>
      <c r="O14" s="7"/>
      <c r="P14" s="7"/>
      <c r="Q14" s="22"/>
    </row>
    <row r="15" ht="22.5" customHeight="1">
      <c r="A15" s="5" t="s">
        <v>350</v>
      </c>
      <c r="B15" s="21" t="s">
        <v>96</v>
      </c>
      <c r="C15" s="22" t="s">
        <v>106</v>
      </c>
      <c r="D15" s="6" t="s">
        <v>479</v>
      </c>
      <c r="E15" s="5" t="s">
        <v>480</v>
      </c>
      <c r="F15" s="5" t="s">
        <v>481</v>
      </c>
      <c r="G15" s="7"/>
      <c r="H15" s="8"/>
      <c r="I15" s="5"/>
      <c r="J15" s="40">
        <v>46013.0</v>
      </c>
      <c r="K15" s="40">
        <v>46013.0</v>
      </c>
      <c r="L15" s="6">
        <v>30000.0</v>
      </c>
      <c r="M15" s="6">
        <v>0.0</v>
      </c>
      <c r="N15" s="7"/>
      <c r="O15" s="7"/>
      <c r="P15" s="7"/>
      <c r="Q15" s="41"/>
    </row>
    <row r="16" ht="22.5" customHeight="1">
      <c r="A16" s="5" t="s">
        <v>482</v>
      </c>
      <c r="B16" s="21" t="s">
        <v>105</v>
      </c>
      <c r="C16" s="22" t="s">
        <v>106</v>
      </c>
      <c r="D16" s="6" t="s">
        <v>483</v>
      </c>
      <c r="E16" s="5" t="s">
        <v>484</v>
      </c>
      <c r="F16" s="5" t="s">
        <v>485</v>
      </c>
      <c r="G16" s="7"/>
      <c r="H16" s="8"/>
      <c r="I16" s="8"/>
      <c r="J16" s="40">
        <v>46017.0</v>
      </c>
      <c r="K16" s="40">
        <v>46017.0</v>
      </c>
      <c r="L16" s="6">
        <v>70000.0</v>
      </c>
      <c r="M16" s="6">
        <v>0.0</v>
      </c>
      <c r="N16" s="7"/>
      <c r="O16" s="7"/>
      <c r="P16" s="7"/>
      <c r="Q16" s="41"/>
    </row>
    <row r="17" ht="22.5" customHeight="1">
      <c r="A17" s="5" t="s">
        <v>486</v>
      </c>
      <c r="B17" s="21" t="s">
        <v>105</v>
      </c>
      <c r="C17" s="22" t="s">
        <v>106</v>
      </c>
      <c r="D17" s="6" t="s">
        <v>487</v>
      </c>
      <c r="E17" s="5" t="s">
        <v>488</v>
      </c>
      <c r="F17" s="5" t="s">
        <v>489</v>
      </c>
      <c r="G17" s="7"/>
      <c r="H17" s="8"/>
      <c r="I17" s="8"/>
      <c r="J17" s="40">
        <v>46021.0</v>
      </c>
      <c r="K17" s="40">
        <v>46021.0</v>
      </c>
      <c r="L17" s="6">
        <v>120000.0</v>
      </c>
      <c r="M17" s="6">
        <v>35000.0</v>
      </c>
      <c r="N17" s="7"/>
      <c r="O17" s="7"/>
      <c r="P17" s="7"/>
      <c r="Q17" s="41"/>
    </row>
    <row r="18" ht="22.5" customHeight="1">
      <c r="A18" s="5" t="s">
        <v>490</v>
      </c>
      <c r="B18" s="6" t="s">
        <v>96</v>
      </c>
      <c r="C18" s="22" t="s">
        <v>106</v>
      </c>
      <c r="D18" s="6" t="s">
        <v>491</v>
      </c>
      <c r="E18" s="5" t="s">
        <v>492</v>
      </c>
      <c r="F18" s="5" t="s">
        <v>493</v>
      </c>
      <c r="G18" s="7"/>
      <c r="H18" s="8"/>
      <c r="I18" s="8"/>
      <c r="J18" s="40">
        <v>46021.0</v>
      </c>
      <c r="K18" s="40">
        <v>46021.0</v>
      </c>
      <c r="L18" s="6">
        <v>60000.0</v>
      </c>
      <c r="M18" s="6">
        <v>0.0</v>
      </c>
      <c r="N18" s="7"/>
      <c r="O18" s="7"/>
      <c r="P18" s="7"/>
      <c r="Q18" s="41"/>
    </row>
    <row r="19" ht="22.5" customHeight="1">
      <c r="A19" s="5" t="s">
        <v>494</v>
      </c>
      <c r="B19" s="21" t="s">
        <v>105</v>
      </c>
      <c r="C19" s="22" t="s">
        <v>106</v>
      </c>
      <c r="D19" s="6" t="s">
        <v>495</v>
      </c>
      <c r="E19" s="5" t="s">
        <v>225</v>
      </c>
      <c r="F19" s="5" t="s">
        <v>496</v>
      </c>
      <c r="G19" s="7"/>
      <c r="H19" s="8"/>
      <c r="I19" s="8"/>
      <c r="J19" s="40">
        <v>46020.0</v>
      </c>
      <c r="K19" s="40">
        <v>46020.0</v>
      </c>
      <c r="L19" s="6">
        <v>10000.0</v>
      </c>
      <c r="M19" s="6">
        <v>0.0</v>
      </c>
      <c r="N19" s="7"/>
      <c r="O19" s="7"/>
      <c r="P19" s="7"/>
      <c r="Q19" s="41"/>
    </row>
    <row r="20" ht="22.5" customHeight="1">
      <c r="A20" s="5"/>
      <c r="B20" s="21"/>
      <c r="C20" s="28"/>
      <c r="D20" s="6"/>
      <c r="E20" s="5"/>
      <c r="F20" s="5"/>
      <c r="G20" s="7"/>
      <c r="H20" s="8"/>
      <c r="I20" s="8"/>
      <c r="J20" s="40"/>
      <c r="K20" s="40"/>
      <c r="L20" s="6"/>
      <c r="M20" s="6"/>
      <c r="N20" s="7"/>
      <c r="O20" s="7"/>
      <c r="P20" s="7"/>
      <c r="Q20" s="41"/>
    </row>
    <row r="21" ht="22.5" customHeight="1">
      <c r="A21" s="5"/>
      <c r="B21" s="21"/>
      <c r="C21" s="28"/>
      <c r="D21" s="6"/>
      <c r="E21" s="5"/>
      <c r="F21" s="5"/>
      <c r="G21" s="7"/>
      <c r="H21" s="8"/>
      <c r="I21" s="5"/>
      <c r="J21" s="40"/>
      <c r="K21" s="40"/>
      <c r="L21" s="6"/>
      <c r="M21" s="6"/>
      <c r="N21" s="7"/>
      <c r="O21" s="7"/>
      <c r="P21" s="7"/>
      <c r="Q21" s="41"/>
    </row>
    <row r="22" ht="22.5" customHeight="1">
      <c r="A22" s="5"/>
      <c r="B22" s="21"/>
      <c r="C22" s="28"/>
      <c r="D22" s="6"/>
      <c r="E22" s="5"/>
      <c r="F22" s="5"/>
      <c r="G22" s="7"/>
      <c r="H22" s="8"/>
      <c r="I22" s="5"/>
      <c r="J22" s="40"/>
      <c r="K22" s="40"/>
      <c r="L22" s="6"/>
      <c r="M22" s="6"/>
      <c r="N22" s="7"/>
      <c r="O22" s="7"/>
      <c r="P22" s="7"/>
      <c r="Q22" s="41"/>
    </row>
    <row r="23" ht="22.5" customHeight="1">
      <c r="A23" s="5"/>
      <c r="B23" s="21"/>
      <c r="C23" s="28"/>
      <c r="D23" s="6"/>
      <c r="E23" s="5"/>
      <c r="F23" s="5"/>
      <c r="G23" s="7"/>
      <c r="H23" s="8"/>
      <c r="I23" s="5"/>
      <c r="J23" s="40"/>
      <c r="K23" s="40"/>
      <c r="L23" s="6"/>
      <c r="M23" s="6"/>
      <c r="N23" s="7"/>
      <c r="O23" s="7"/>
      <c r="P23" s="7"/>
      <c r="Q23" s="41"/>
    </row>
    <row r="24" ht="22.5" customHeight="1">
      <c r="A24" s="5"/>
      <c r="B24" s="21"/>
      <c r="C24" s="28"/>
      <c r="D24" s="6"/>
      <c r="E24" s="5"/>
      <c r="F24" s="5"/>
      <c r="G24" s="7"/>
      <c r="H24" s="8"/>
      <c r="I24" s="8"/>
      <c r="J24" s="40"/>
      <c r="K24" s="40"/>
      <c r="L24" s="6"/>
      <c r="M24" s="6"/>
      <c r="N24" s="7"/>
      <c r="O24" s="7"/>
      <c r="P24" s="7"/>
      <c r="Q24" s="41"/>
    </row>
    <row r="25" ht="22.5" customHeight="1">
      <c r="A25" s="5"/>
      <c r="B25" s="21"/>
      <c r="C25" s="28"/>
      <c r="D25" s="6"/>
      <c r="E25" s="5"/>
      <c r="F25" s="5"/>
      <c r="G25" s="7"/>
      <c r="H25" s="8"/>
      <c r="I25" s="8"/>
      <c r="J25" s="40"/>
      <c r="K25" s="40"/>
      <c r="L25" s="6"/>
      <c r="M25" s="6"/>
      <c r="N25" s="7"/>
      <c r="O25" s="7"/>
      <c r="P25" s="7"/>
      <c r="Q25" s="41"/>
    </row>
    <row r="26" ht="22.5" customHeight="1">
      <c r="A26" s="5"/>
      <c r="B26" s="21"/>
      <c r="C26" s="28"/>
      <c r="D26" s="6"/>
      <c r="E26" s="5"/>
      <c r="F26" s="5"/>
      <c r="G26" s="7"/>
      <c r="H26" s="8"/>
      <c r="I26" s="8"/>
      <c r="J26" s="40"/>
      <c r="K26" s="40"/>
      <c r="L26" s="6"/>
      <c r="M26" s="6"/>
      <c r="N26" s="7"/>
      <c r="O26" s="7"/>
      <c r="P26" s="7"/>
      <c r="Q26" s="41"/>
    </row>
    <row r="27" ht="22.5" customHeight="1">
      <c r="A27" s="5"/>
      <c r="B27" s="21"/>
      <c r="C27" s="28"/>
      <c r="D27" s="6"/>
      <c r="E27" s="5"/>
      <c r="F27" s="5"/>
      <c r="G27" s="7"/>
      <c r="H27" s="8"/>
      <c r="I27" s="8"/>
      <c r="J27" s="40"/>
      <c r="K27" s="40"/>
      <c r="L27" s="6"/>
      <c r="M27" s="6"/>
      <c r="N27" s="7"/>
      <c r="O27" s="7"/>
      <c r="P27" s="7"/>
      <c r="Q27" s="41"/>
    </row>
    <row r="28" ht="22.5" customHeight="1">
      <c r="A28" s="5"/>
      <c r="B28" s="21"/>
      <c r="C28" s="28"/>
      <c r="D28" s="6"/>
      <c r="E28" s="5"/>
      <c r="F28" s="5"/>
      <c r="G28" s="7"/>
      <c r="H28" s="8"/>
      <c r="I28" s="8"/>
      <c r="J28" s="40"/>
      <c r="K28" s="40"/>
      <c r="L28" s="6"/>
      <c r="M28" s="6"/>
      <c r="N28" s="7"/>
      <c r="O28" s="7"/>
      <c r="P28" s="7"/>
      <c r="Q28" s="41"/>
    </row>
    <row r="29" ht="22.5" customHeight="1">
      <c r="A29" s="5"/>
      <c r="B29" s="21"/>
      <c r="C29" s="28"/>
      <c r="D29" s="6"/>
      <c r="E29" s="5"/>
      <c r="F29" s="5"/>
      <c r="G29" s="7"/>
      <c r="H29" s="8"/>
      <c r="I29" s="8"/>
      <c r="J29" s="40"/>
      <c r="K29" s="40"/>
      <c r="L29" s="6"/>
      <c r="M29" s="6"/>
      <c r="N29" s="7"/>
      <c r="O29" s="7"/>
      <c r="P29" s="7"/>
      <c r="Q29" s="41"/>
    </row>
    <row r="30" ht="22.5" customHeight="1">
      <c r="A30" s="5"/>
      <c r="B30" s="21"/>
      <c r="C30" s="28"/>
      <c r="D30" s="6"/>
      <c r="E30" s="5"/>
      <c r="F30" s="5"/>
      <c r="G30" s="7"/>
      <c r="H30" s="8"/>
      <c r="I30" s="8"/>
      <c r="J30" s="40"/>
      <c r="K30" s="40"/>
      <c r="L30" s="6"/>
      <c r="M30" s="6"/>
      <c r="N30" s="7"/>
      <c r="O30" s="7"/>
      <c r="P30" s="7"/>
      <c r="Q30" s="41"/>
    </row>
  </sheetData>
  <dataValidations>
    <dataValidation type="list" allowBlank="1" sqref="B2:B30">
      <formula1>"taller,final,agencia"</formula1>
    </dataValidation>
    <dataValidation type="list" allowBlank="1" sqref="C2:C30">
      <formula1>"rep ecu,diagnostico,cerrajeria"</formula1>
    </dataValidation>
    <dataValidation allowBlank="1" showDropDown="1" sqref="A2:A30 H2:I30"/>
    <dataValidation type="list" allowBlank="1" sqref="Q2:Q30">
      <formula1>"no,si"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9.13"/>
    <col customWidth="1" min="3" max="3" width="19.88"/>
    <col customWidth="1" min="4" max="4" width="22.63"/>
    <col customWidth="1" min="5" max="6" width="31.0"/>
    <col customWidth="1" min="7" max="7" width="15.25"/>
    <col customWidth="1" min="8" max="8" width="12.25"/>
    <col customWidth="1" min="9" max="9" width="22.63"/>
    <col customWidth="1" min="10" max="10" width="20.13"/>
    <col customWidth="1" min="11" max="11" width="17.5"/>
    <col customWidth="1" min="12" max="12" width="17.0"/>
    <col customWidth="1" min="17" max="17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8" t="s">
        <v>89</v>
      </c>
    </row>
    <row r="2" ht="22.5" customHeight="1">
      <c r="A2" s="29" t="s">
        <v>269</v>
      </c>
      <c r="B2" s="42" t="s">
        <v>96</v>
      </c>
      <c r="C2" s="43" t="s">
        <v>265</v>
      </c>
      <c r="D2" s="44" t="s">
        <v>293</v>
      </c>
      <c r="E2" s="45" t="s">
        <v>98</v>
      </c>
      <c r="F2" s="45" t="s">
        <v>497</v>
      </c>
      <c r="G2" s="34"/>
      <c r="H2" s="35"/>
      <c r="I2" s="35"/>
      <c r="J2" s="46">
        <v>45969.0</v>
      </c>
      <c r="K2" s="46">
        <v>45972.0</v>
      </c>
      <c r="L2" s="47">
        <v>120000.0</v>
      </c>
      <c r="M2" s="11">
        <v>0.0</v>
      </c>
      <c r="N2" s="12">
        <f t="shared" ref="N2:O2" si="1">SUM(L2:L33)</f>
        <v>1400000</v>
      </c>
      <c r="O2" s="12">
        <f t="shared" si="1"/>
        <v>111000</v>
      </c>
      <c r="P2" s="12">
        <f>SUM(N2-O2)</f>
        <v>1289000</v>
      </c>
      <c r="Q2" s="22" t="s">
        <v>161</v>
      </c>
    </row>
    <row r="3" ht="22.5" customHeight="1">
      <c r="A3" s="6" t="s">
        <v>498</v>
      </c>
      <c r="B3" s="21" t="s">
        <v>105</v>
      </c>
      <c r="C3" s="22" t="s">
        <v>106</v>
      </c>
      <c r="D3" s="6" t="s">
        <v>499</v>
      </c>
      <c r="E3" s="5" t="s">
        <v>98</v>
      </c>
      <c r="F3" s="5" t="s">
        <v>500</v>
      </c>
      <c r="G3" s="7"/>
      <c r="H3" s="8"/>
      <c r="I3" s="5"/>
      <c r="J3" s="9">
        <v>45971.0</v>
      </c>
      <c r="K3" s="10">
        <v>45973.0</v>
      </c>
      <c r="L3" s="11">
        <v>80000.0</v>
      </c>
      <c r="M3" s="11">
        <v>0.0</v>
      </c>
      <c r="N3" s="7"/>
      <c r="O3" s="7"/>
      <c r="P3" s="13"/>
      <c r="Q3" s="22" t="s">
        <v>100</v>
      </c>
    </row>
    <row r="4" ht="22.5" customHeight="1">
      <c r="A4" s="6" t="s">
        <v>501</v>
      </c>
      <c r="B4" s="21" t="s">
        <v>105</v>
      </c>
      <c r="C4" s="22" t="s">
        <v>18</v>
      </c>
      <c r="D4" s="6" t="s">
        <v>359</v>
      </c>
      <c r="E4" s="5"/>
      <c r="F4" s="5" t="s">
        <v>502</v>
      </c>
      <c r="G4" s="7"/>
      <c r="H4" s="8"/>
      <c r="I4" s="5"/>
      <c r="J4" s="9">
        <v>45973.0</v>
      </c>
      <c r="K4" s="10">
        <v>45973.0</v>
      </c>
      <c r="L4" s="11">
        <v>130000.0</v>
      </c>
      <c r="M4" s="11">
        <v>25000.0</v>
      </c>
      <c r="N4" s="7"/>
      <c r="O4" s="7"/>
      <c r="P4" s="13"/>
      <c r="Q4" s="22" t="s">
        <v>100</v>
      </c>
    </row>
    <row r="5" ht="22.5" customHeight="1">
      <c r="A5" s="5" t="s">
        <v>134</v>
      </c>
      <c r="B5" s="6" t="s">
        <v>96</v>
      </c>
      <c r="C5" s="22" t="s">
        <v>18</v>
      </c>
      <c r="D5" s="6" t="s">
        <v>503</v>
      </c>
      <c r="E5" s="5"/>
      <c r="F5" s="5" t="s">
        <v>504</v>
      </c>
      <c r="G5" s="7"/>
      <c r="H5" s="8"/>
      <c r="I5" s="5"/>
      <c r="J5" s="10">
        <v>45974.0</v>
      </c>
      <c r="K5" s="9">
        <v>45974.0</v>
      </c>
      <c r="L5" s="11">
        <v>20000.0</v>
      </c>
      <c r="M5" s="11">
        <v>5000.0</v>
      </c>
      <c r="N5" s="7"/>
      <c r="O5" s="7"/>
      <c r="P5" s="13"/>
      <c r="Q5" s="22" t="s">
        <v>100</v>
      </c>
    </row>
    <row r="6" ht="22.5" customHeight="1">
      <c r="A6" s="5" t="s">
        <v>129</v>
      </c>
      <c r="B6" s="6" t="s">
        <v>130</v>
      </c>
      <c r="C6" s="22" t="s">
        <v>106</v>
      </c>
      <c r="D6" s="6" t="s">
        <v>505</v>
      </c>
      <c r="E6" s="5" t="s">
        <v>506</v>
      </c>
      <c r="F6" s="5" t="s">
        <v>507</v>
      </c>
      <c r="G6" s="7"/>
      <c r="H6" s="8"/>
      <c r="I6" s="5"/>
      <c r="J6" s="9">
        <v>45974.0</v>
      </c>
      <c r="K6" s="9">
        <v>45974.0</v>
      </c>
      <c r="L6" s="11">
        <v>40000.0</v>
      </c>
      <c r="M6" s="6">
        <v>0.0</v>
      </c>
      <c r="N6" s="7"/>
      <c r="O6" s="7"/>
      <c r="P6" s="13"/>
      <c r="Q6" s="22" t="s">
        <v>100</v>
      </c>
    </row>
    <row r="7" ht="22.5" customHeight="1">
      <c r="A7" s="5" t="s">
        <v>129</v>
      </c>
      <c r="B7" s="6" t="s">
        <v>130</v>
      </c>
      <c r="C7" s="25" t="s">
        <v>106</v>
      </c>
      <c r="D7" s="6" t="s">
        <v>508</v>
      </c>
      <c r="E7" s="5" t="s">
        <v>509</v>
      </c>
      <c r="F7" s="5" t="s">
        <v>510</v>
      </c>
      <c r="G7" s="7"/>
      <c r="H7" s="8"/>
      <c r="I7" s="5" t="s">
        <v>511</v>
      </c>
      <c r="J7" s="9">
        <v>45974.0</v>
      </c>
      <c r="K7" s="9">
        <v>45974.0</v>
      </c>
      <c r="L7" s="11">
        <v>40000.0</v>
      </c>
      <c r="M7" s="6"/>
      <c r="N7" s="7"/>
      <c r="O7" s="7"/>
      <c r="P7" s="13"/>
      <c r="Q7" s="22" t="s">
        <v>100</v>
      </c>
    </row>
    <row r="8" ht="22.5" customHeight="1">
      <c r="A8" s="5" t="s">
        <v>512</v>
      </c>
      <c r="B8" s="21" t="s">
        <v>105</v>
      </c>
      <c r="C8" s="22" t="s">
        <v>18</v>
      </c>
      <c r="D8" s="6" t="s">
        <v>513</v>
      </c>
      <c r="E8" s="5" t="s">
        <v>514</v>
      </c>
      <c r="F8" s="5" t="s">
        <v>515</v>
      </c>
      <c r="G8" s="7"/>
      <c r="H8" s="8"/>
      <c r="I8" s="5"/>
      <c r="J8" s="9">
        <v>45974.0</v>
      </c>
      <c r="K8" s="9">
        <v>45974.0</v>
      </c>
      <c r="L8" s="11">
        <v>60000.0</v>
      </c>
      <c r="M8" s="6">
        <v>8000.0</v>
      </c>
      <c r="N8" s="7"/>
      <c r="O8" s="7"/>
      <c r="P8" s="13"/>
      <c r="Q8" s="22" t="s">
        <v>100</v>
      </c>
    </row>
    <row r="9" ht="22.5" customHeight="1">
      <c r="A9" s="5" t="s">
        <v>516</v>
      </c>
      <c r="B9" s="21" t="s">
        <v>105</v>
      </c>
      <c r="C9" s="22" t="s">
        <v>106</v>
      </c>
      <c r="D9" s="6" t="s">
        <v>517</v>
      </c>
      <c r="E9" s="5" t="s">
        <v>518</v>
      </c>
      <c r="F9" s="5" t="s">
        <v>519</v>
      </c>
      <c r="G9" s="7"/>
      <c r="H9" s="8"/>
      <c r="I9" s="5"/>
      <c r="J9" s="40">
        <v>45976.0</v>
      </c>
      <c r="K9" s="14">
        <v>45978.0</v>
      </c>
      <c r="L9" s="6">
        <v>230000.0</v>
      </c>
      <c r="M9" s="6">
        <v>58000.0</v>
      </c>
      <c r="N9" s="7"/>
      <c r="P9" s="7"/>
      <c r="Q9" s="22" t="s">
        <v>100</v>
      </c>
    </row>
    <row r="10" ht="22.5" customHeight="1">
      <c r="A10" s="5" t="s">
        <v>129</v>
      </c>
      <c r="B10" s="21" t="s">
        <v>130</v>
      </c>
      <c r="C10" s="22" t="s">
        <v>18</v>
      </c>
      <c r="D10" s="6" t="s">
        <v>520</v>
      </c>
      <c r="E10" s="5" t="s">
        <v>376</v>
      </c>
      <c r="F10" s="5" t="s">
        <v>521</v>
      </c>
      <c r="G10" s="7"/>
      <c r="H10" s="8"/>
      <c r="I10" s="5"/>
      <c r="J10" s="9">
        <v>45976.0</v>
      </c>
      <c r="K10" s="9">
        <v>45976.0</v>
      </c>
      <c r="L10" s="6">
        <v>50000.0</v>
      </c>
      <c r="M10" s="6"/>
      <c r="N10" s="7"/>
      <c r="O10" s="7"/>
      <c r="P10" s="7"/>
      <c r="Q10" s="22" t="s">
        <v>100</v>
      </c>
    </row>
    <row r="11" ht="22.5" customHeight="1">
      <c r="A11" s="5" t="s">
        <v>522</v>
      </c>
      <c r="B11" s="21" t="s">
        <v>96</v>
      </c>
      <c r="C11" s="22" t="s">
        <v>106</v>
      </c>
      <c r="D11" s="6" t="s">
        <v>523</v>
      </c>
      <c r="E11" s="5" t="s">
        <v>524</v>
      </c>
      <c r="F11" s="5" t="s">
        <v>525</v>
      </c>
      <c r="G11" s="7"/>
      <c r="H11" s="8"/>
      <c r="I11" s="5"/>
      <c r="J11" s="9">
        <v>45975.0</v>
      </c>
      <c r="K11" s="9">
        <v>45975.0</v>
      </c>
      <c r="L11" s="15">
        <v>40000.0</v>
      </c>
      <c r="M11" s="6"/>
      <c r="N11" s="7"/>
      <c r="O11" s="7"/>
      <c r="P11" s="7"/>
      <c r="Q11" s="22" t="s">
        <v>100</v>
      </c>
    </row>
    <row r="12" ht="22.5" customHeight="1">
      <c r="A12" s="5" t="s">
        <v>526</v>
      </c>
      <c r="B12" s="21" t="s">
        <v>105</v>
      </c>
      <c r="C12" s="22" t="s">
        <v>18</v>
      </c>
      <c r="D12" s="6" t="s">
        <v>65</v>
      </c>
      <c r="E12" s="5" t="s">
        <v>527</v>
      </c>
      <c r="F12" s="5" t="s">
        <v>528</v>
      </c>
      <c r="G12" s="7"/>
      <c r="H12" s="8"/>
      <c r="I12" s="5"/>
      <c r="J12" s="9">
        <v>45979.0</v>
      </c>
      <c r="K12" s="9">
        <v>45980.0</v>
      </c>
      <c r="L12" s="6">
        <v>270000.0</v>
      </c>
      <c r="M12" s="6">
        <v>15000.0</v>
      </c>
      <c r="N12" s="7"/>
      <c r="O12" s="7"/>
      <c r="P12" s="7"/>
      <c r="Q12" s="22" t="s">
        <v>100</v>
      </c>
    </row>
    <row r="13" ht="22.5" customHeight="1">
      <c r="A13" s="5" t="s">
        <v>129</v>
      </c>
      <c r="B13" s="21" t="s">
        <v>130</v>
      </c>
      <c r="C13" s="22" t="s">
        <v>106</v>
      </c>
      <c r="D13" s="6" t="s">
        <v>483</v>
      </c>
      <c r="E13" s="5" t="s">
        <v>529</v>
      </c>
      <c r="F13" s="5" t="s">
        <v>530</v>
      </c>
      <c r="G13" s="7"/>
      <c r="H13" s="8"/>
      <c r="I13" s="8"/>
      <c r="J13" s="40">
        <v>45978.0</v>
      </c>
      <c r="K13" s="40">
        <v>45980.0</v>
      </c>
      <c r="L13" s="6">
        <v>130000.0</v>
      </c>
      <c r="M13" s="6"/>
      <c r="N13" s="7"/>
      <c r="O13" s="7"/>
      <c r="P13" s="7"/>
      <c r="Q13" s="22" t="s">
        <v>100</v>
      </c>
    </row>
    <row r="14" ht="22.5" customHeight="1">
      <c r="A14" s="5" t="s">
        <v>531</v>
      </c>
      <c r="B14" s="21" t="s">
        <v>105</v>
      </c>
      <c r="C14" s="22" t="s">
        <v>18</v>
      </c>
      <c r="D14" s="6" t="s">
        <v>444</v>
      </c>
      <c r="E14" s="5" t="s">
        <v>98</v>
      </c>
      <c r="F14" s="5" t="s">
        <v>532</v>
      </c>
      <c r="G14" s="7"/>
      <c r="H14" s="8"/>
      <c r="I14" s="5"/>
      <c r="J14" s="16">
        <v>45980.0</v>
      </c>
      <c r="K14" s="16">
        <v>45980.0</v>
      </c>
      <c r="L14" s="6">
        <v>120000.0</v>
      </c>
      <c r="M14" s="6"/>
      <c r="N14" s="7"/>
      <c r="O14" s="7"/>
      <c r="P14" s="7"/>
      <c r="Q14" s="22" t="s">
        <v>100</v>
      </c>
    </row>
    <row r="15" ht="22.5" customHeight="1">
      <c r="A15" s="5" t="s">
        <v>533</v>
      </c>
      <c r="B15" s="21" t="s">
        <v>105</v>
      </c>
      <c r="C15" s="22" t="s">
        <v>106</v>
      </c>
      <c r="D15" s="6" t="s">
        <v>534</v>
      </c>
      <c r="E15" s="5" t="s">
        <v>535</v>
      </c>
      <c r="F15" s="5" t="s">
        <v>536</v>
      </c>
      <c r="G15" s="7"/>
      <c r="H15" s="8"/>
      <c r="I15" s="5"/>
      <c r="J15" s="40">
        <v>45979.0</v>
      </c>
      <c r="K15" s="40">
        <v>45982.0</v>
      </c>
      <c r="L15" s="6">
        <v>70000.0</v>
      </c>
      <c r="M15" s="6">
        <v>0.0</v>
      </c>
      <c r="N15" s="7"/>
      <c r="O15" s="7"/>
      <c r="P15" s="7"/>
      <c r="Q15" s="41"/>
    </row>
    <row r="16" ht="22.5" customHeight="1">
      <c r="A16" s="5"/>
      <c r="B16" s="21"/>
      <c r="C16" s="28"/>
      <c r="D16" s="6"/>
      <c r="E16" s="5"/>
      <c r="F16" s="5"/>
      <c r="G16" s="7"/>
      <c r="H16" s="8"/>
      <c r="I16" s="8"/>
      <c r="J16" s="40"/>
      <c r="K16" s="40"/>
      <c r="L16" s="6"/>
      <c r="M16" s="6"/>
      <c r="N16" s="7"/>
      <c r="O16" s="7"/>
      <c r="P16" s="7"/>
      <c r="Q16" s="41"/>
    </row>
    <row r="17" ht="22.5" customHeight="1">
      <c r="A17" s="5"/>
      <c r="B17" s="21"/>
      <c r="C17" s="28"/>
      <c r="D17" s="6"/>
      <c r="E17" s="5"/>
      <c r="F17" s="5"/>
      <c r="G17" s="7"/>
      <c r="H17" s="8"/>
      <c r="I17" s="8"/>
      <c r="J17" s="40"/>
      <c r="K17" s="40"/>
      <c r="L17" s="6"/>
      <c r="M17" s="6"/>
      <c r="N17" s="7"/>
      <c r="O17" s="7"/>
      <c r="P17" s="7"/>
      <c r="Q17" s="41"/>
    </row>
    <row r="18" ht="22.5" customHeight="1">
      <c r="A18" s="5"/>
      <c r="B18" s="6" t="s">
        <v>105</v>
      </c>
      <c r="C18" s="28"/>
      <c r="D18" s="6"/>
      <c r="E18" s="5"/>
      <c r="F18" s="5"/>
      <c r="G18" s="7"/>
      <c r="H18" s="8"/>
      <c r="I18" s="8"/>
      <c r="J18" s="40"/>
      <c r="K18" s="40"/>
      <c r="L18" s="6"/>
      <c r="M18" s="6"/>
      <c r="N18" s="7"/>
      <c r="O18" s="7"/>
      <c r="P18" s="7"/>
      <c r="Q18" s="41"/>
    </row>
    <row r="19" ht="22.5" customHeight="1">
      <c r="A19" s="5"/>
      <c r="B19" s="21"/>
      <c r="C19" s="28"/>
      <c r="D19" s="6"/>
      <c r="E19" s="5"/>
      <c r="F19" s="5"/>
      <c r="G19" s="7"/>
      <c r="H19" s="8"/>
      <c r="I19" s="8"/>
      <c r="J19" s="40"/>
      <c r="K19" s="40"/>
      <c r="L19" s="6"/>
      <c r="M19" s="6"/>
      <c r="N19" s="7"/>
      <c r="O19" s="7"/>
      <c r="P19" s="7"/>
      <c r="Q19" s="41"/>
    </row>
    <row r="20" ht="22.5" customHeight="1">
      <c r="A20" s="5"/>
      <c r="B20" s="21"/>
      <c r="C20" s="28"/>
      <c r="D20" s="6"/>
      <c r="E20" s="5"/>
      <c r="F20" s="5"/>
      <c r="G20" s="7"/>
      <c r="H20" s="8"/>
      <c r="I20" s="8"/>
      <c r="J20" s="40"/>
      <c r="K20" s="40"/>
      <c r="L20" s="6"/>
      <c r="M20" s="6"/>
      <c r="N20" s="7"/>
      <c r="O20" s="7"/>
      <c r="P20" s="7"/>
      <c r="Q20" s="41"/>
    </row>
    <row r="21" ht="22.5" customHeight="1">
      <c r="A21" s="5"/>
      <c r="B21" s="21"/>
      <c r="C21" s="28"/>
      <c r="D21" s="6"/>
      <c r="E21" s="5"/>
      <c r="F21" s="5"/>
      <c r="G21" s="7"/>
      <c r="H21" s="8"/>
      <c r="I21" s="5"/>
      <c r="J21" s="40"/>
      <c r="K21" s="40"/>
      <c r="L21" s="6"/>
      <c r="M21" s="6"/>
      <c r="N21" s="7"/>
      <c r="O21" s="7"/>
      <c r="P21" s="7"/>
      <c r="Q21" s="41"/>
    </row>
    <row r="22" ht="22.5" customHeight="1">
      <c r="A22" s="5"/>
      <c r="B22" s="21"/>
      <c r="C22" s="28"/>
      <c r="D22" s="6"/>
      <c r="E22" s="5"/>
      <c r="F22" s="5"/>
      <c r="G22" s="7"/>
      <c r="H22" s="8"/>
      <c r="I22" s="5"/>
      <c r="J22" s="40"/>
      <c r="K22" s="40"/>
      <c r="L22" s="6"/>
      <c r="M22" s="6"/>
      <c r="N22" s="7"/>
      <c r="O22" s="7"/>
      <c r="P22" s="7"/>
      <c r="Q22" s="41"/>
    </row>
    <row r="23" ht="22.5" customHeight="1">
      <c r="A23" s="5"/>
      <c r="B23" s="21"/>
      <c r="C23" s="28"/>
      <c r="D23" s="6"/>
      <c r="E23" s="5"/>
      <c r="F23" s="5"/>
      <c r="G23" s="7"/>
      <c r="H23" s="8"/>
      <c r="I23" s="5"/>
      <c r="J23" s="40"/>
      <c r="K23" s="40"/>
      <c r="L23" s="6"/>
      <c r="M23" s="6"/>
      <c r="N23" s="7"/>
      <c r="O23" s="7"/>
      <c r="P23" s="7"/>
      <c r="Q23" s="41"/>
    </row>
    <row r="24" ht="22.5" customHeight="1">
      <c r="A24" s="5"/>
      <c r="B24" s="21"/>
      <c r="C24" s="28"/>
      <c r="D24" s="6"/>
      <c r="E24" s="5"/>
      <c r="F24" s="5"/>
      <c r="G24" s="7"/>
      <c r="H24" s="8"/>
      <c r="I24" s="8"/>
      <c r="J24" s="40"/>
      <c r="K24" s="40"/>
      <c r="L24" s="6"/>
      <c r="M24" s="6"/>
      <c r="N24" s="7"/>
      <c r="O24" s="7"/>
      <c r="P24" s="7"/>
      <c r="Q24" s="41"/>
    </row>
    <row r="25" ht="22.5" customHeight="1">
      <c r="A25" s="5"/>
      <c r="B25" s="21"/>
      <c r="C25" s="28"/>
      <c r="D25" s="6"/>
      <c r="E25" s="5"/>
      <c r="F25" s="5"/>
      <c r="G25" s="7"/>
      <c r="H25" s="8"/>
      <c r="I25" s="8"/>
      <c r="J25" s="40"/>
      <c r="K25" s="40"/>
      <c r="L25" s="6"/>
      <c r="M25" s="6"/>
      <c r="N25" s="7"/>
      <c r="O25" s="7"/>
      <c r="P25" s="7"/>
      <c r="Q25" s="41"/>
    </row>
    <row r="26" ht="22.5" customHeight="1">
      <c r="A26" s="5"/>
      <c r="B26" s="21"/>
      <c r="C26" s="28"/>
      <c r="D26" s="6"/>
      <c r="E26" s="5"/>
      <c r="F26" s="5"/>
      <c r="G26" s="7"/>
      <c r="H26" s="8"/>
      <c r="I26" s="8"/>
      <c r="J26" s="40"/>
      <c r="K26" s="40"/>
      <c r="L26" s="6"/>
      <c r="M26" s="6"/>
      <c r="N26" s="7"/>
      <c r="O26" s="7"/>
      <c r="P26" s="7"/>
      <c r="Q26" s="41"/>
    </row>
    <row r="27" ht="22.5" customHeight="1">
      <c r="A27" s="5"/>
      <c r="B27" s="21"/>
      <c r="C27" s="28"/>
      <c r="D27" s="6"/>
      <c r="E27" s="5"/>
      <c r="F27" s="5"/>
      <c r="G27" s="7"/>
      <c r="H27" s="8"/>
      <c r="I27" s="8"/>
      <c r="J27" s="40"/>
      <c r="K27" s="40"/>
      <c r="L27" s="6"/>
      <c r="M27" s="6"/>
      <c r="N27" s="7"/>
      <c r="O27" s="7"/>
      <c r="P27" s="7"/>
      <c r="Q27" s="41"/>
    </row>
    <row r="28" ht="22.5" customHeight="1">
      <c r="A28" s="5"/>
      <c r="B28" s="21"/>
      <c r="C28" s="28"/>
      <c r="D28" s="6"/>
      <c r="E28" s="5"/>
      <c r="F28" s="5"/>
      <c r="G28" s="7"/>
      <c r="H28" s="8"/>
      <c r="I28" s="8"/>
      <c r="J28" s="40"/>
      <c r="K28" s="40"/>
      <c r="L28" s="6"/>
      <c r="M28" s="6"/>
      <c r="N28" s="7"/>
      <c r="O28" s="7"/>
      <c r="P28" s="7"/>
      <c r="Q28" s="41"/>
    </row>
    <row r="29" ht="22.5" customHeight="1">
      <c r="A29" s="5"/>
      <c r="B29" s="21"/>
      <c r="C29" s="28"/>
      <c r="D29" s="6"/>
      <c r="E29" s="5"/>
      <c r="F29" s="5"/>
      <c r="G29" s="7"/>
      <c r="H29" s="8"/>
      <c r="I29" s="8"/>
      <c r="J29" s="40"/>
      <c r="K29" s="40"/>
      <c r="L29" s="6"/>
      <c r="M29" s="6"/>
      <c r="N29" s="7"/>
      <c r="O29" s="7"/>
      <c r="P29" s="7"/>
      <c r="Q29" s="41"/>
    </row>
    <row r="30" ht="22.5" customHeight="1">
      <c r="A30" s="5"/>
      <c r="B30" s="21"/>
      <c r="C30" s="28"/>
      <c r="D30" s="6"/>
      <c r="E30" s="5"/>
      <c r="F30" s="5"/>
      <c r="G30" s="7"/>
      <c r="H30" s="8"/>
      <c r="I30" s="8"/>
      <c r="J30" s="40"/>
      <c r="K30" s="40"/>
      <c r="L30" s="6"/>
      <c r="M30" s="6"/>
      <c r="N30" s="7"/>
      <c r="O30" s="7"/>
      <c r="P30" s="7"/>
      <c r="Q30" s="41"/>
    </row>
  </sheetData>
  <dataValidations>
    <dataValidation type="list" allowBlank="1" sqref="B2:B30">
      <formula1>"taller,final,agencia"</formula1>
    </dataValidation>
    <dataValidation type="list" allowBlank="1" sqref="C2:C30">
      <formula1>"rep ecu,diagnostico,cerrajeria"</formula1>
    </dataValidation>
    <dataValidation allowBlank="1" showDropDown="1" sqref="A2:A30 H2:I30"/>
    <dataValidation type="list" allowBlank="1" sqref="Q2:Q30">
      <formula1>"no,si"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7.63"/>
    <col customWidth="1" min="3" max="3" width="18.38"/>
    <col customWidth="1" min="4" max="4" width="22.63"/>
    <col customWidth="1" min="5" max="6" width="31.0"/>
    <col customWidth="1" min="7" max="7" width="15.25"/>
    <col customWidth="1" min="8" max="8" width="12.25"/>
    <col customWidth="1" min="9" max="9" width="22.63"/>
    <col customWidth="1" min="10" max="10" width="20.13"/>
    <col customWidth="1" min="11" max="11" width="17.5"/>
    <col customWidth="1" min="12" max="12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</row>
    <row r="2" ht="22.5" customHeight="1">
      <c r="A2" s="5" t="s">
        <v>482</v>
      </c>
      <c r="B2" s="5" t="s">
        <v>537</v>
      </c>
      <c r="C2" s="5" t="s">
        <v>106</v>
      </c>
      <c r="D2" s="6" t="s">
        <v>538</v>
      </c>
      <c r="E2" s="5" t="s">
        <v>323</v>
      </c>
      <c r="F2" s="5" t="s">
        <v>539</v>
      </c>
      <c r="G2" s="7"/>
      <c r="H2" s="8"/>
      <c r="I2" s="5"/>
      <c r="J2" s="9">
        <v>45777.0</v>
      </c>
      <c r="K2" s="10">
        <v>45779.0</v>
      </c>
      <c r="L2" s="11">
        <v>150000.0</v>
      </c>
      <c r="M2" s="11">
        <v>0.0</v>
      </c>
      <c r="N2" s="12">
        <f t="shared" ref="N2:O2" si="1">SUM(L2:L33)</f>
        <v>1685000</v>
      </c>
      <c r="O2" s="12">
        <f t="shared" si="1"/>
        <v>77000</v>
      </c>
      <c r="P2" s="12">
        <f>SUM(N2-O2)</f>
        <v>1608000</v>
      </c>
    </row>
    <row r="3" ht="22.5" customHeight="1">
      <c r="A3" s="6" t="s">
        <v>124</v>
      </c>
      <c r="B3" s="5" t="s">
        <v>540</v>
      </c>
      <c r="C3" s="6" t="s">
        <v>106</v>
      </c>
      <c r="D3" s="6" t="s">
        <v>541</v>
      </c>
      <c r="E3" s="5" t="s">
        <v>98</v>
      </c>
      <c r="F3" s="5" t="s">
        <v>542</v>
      </c>
      <c r="G3" s="7"/>
      <c r="H3" s="8"/>
      <c r="I3" s="5"/>
      <c r="J3" s="9">
        <v>45777.0</v>
      </c>
      <c r="K3" s="10">
        <v>45780.0</v>
      </c>
      <c r="L3" s="11">
        <v>60000.0</v>
      </c>
      <c r="M3" s="11">
        <v>0.0</v>
      </c>
      <c r="N3" s="7"/>
      <c r="O3" s="7"/>
      <c r="P3" s="13"/>
    </row>
    <row r="4" ht="22.5" customHeight="1">
      <c r="A4" s="6" t="s">
        <v>543</v>
      </c>
      <c r="B4" s="5" t="s">
        <v>540</v>
      </c>
      <c r="C4" s="6" t="s">
        <v>68</v>
      </c>
      <c r="D4" s="6" t="s">
        <v>544</v>
      </c>
      <c r="E4" s="5" t="s">
        <v>545</v>
      </c>
      <c r="F4" s="5" t="s">
        <v>546</v>
      </c>
      <c r="G4" s="7"/>
      <c r="H4" s="8"/>
      <c r="I4" s="5"/>
      <c r="J4" s="9">
        <v>45782.0</v>
      </c>
      <c r="K4" s="10">
        <v>45783.0</v>
      </c>
      <c r="L4" s="11">
        <v>120000.0</v>
      </c>
      <c r="M4" s="11">
        <v>0.0</v>
      </c>
      <c r="N4" s="7"/>
      <c r="O4" s="7"/>
      <c r="P4" s="13"/>
    </row>
    <row r="5" ht="22.5" customHeight="1">
      <c r="A5" s="5" t="s">
        <v>547</v>
      </c>
      <c r="B5" s="5" t="s">
        <v>96</v>
      </c>
      <c r="C5" s="6" t="s">
        <v>106</v>
      </c>
      <c r="D5" s="6" t="s">
        <v>548</v>
      </c>
      <c r="E5" s="5" t="s">
        <v>549</v>
      </c>
      <c r="F5" s="5" t="s">
        <v>550</v>
      </c>
      <c r="G5" s="7"/>
      <c r="H5" s="8"/>
      <c r="I5" s="5"/>
      <c r="J5" s="10">
        <v>45783.0</v>
      </c>
      <c r="K5" s="9">
        <v>45783.0</v>
      </c>
      <c r="L5" s="11">
        <v>25000.0</v>
      </c>
      <c r="M5" s="11">
        <v>0.0</v>
      </c>
      <c r="N5" s="7"/>
      <c r="O5" s="7"/>
      <c r="P5" s="13"/>
    </row>
    <row r="6" ht="22.5" customHeight="1">
      <c r="A6" s="5" t="s">
        <v>124</v>
      </c>
      <c r="B6" s="5" t="s">
        <v>540</v>
      </c>
      <c r="C6" s="6" t="s">
        <v>551</v>
      </c>
      <c r="D6" s="6" t="s">
        <v>541</v>
      </c>
      <c r="E6" s="5" t="s">
        <v>552</v>
      </c>
      <c r="F6" s="5" t="s">
        <v>553</v>
      </c>
      <c r="G6" s="7"/>
      <c r="H6" s="8"/>
      <c r="I6" s="5"/>
      <c r="J6" s="9">
        <v>45784.0</v>
      </c>
      <c r="K6" s="9">
        <v>45784.0</v>
      </c>
      <c r="L6" s="11">
        <v>30000.0</v>
      </c>
      <c r="M6" s="6">
        <v>0.0</v>
      </c>
      <c r="N6" s="7"/>
      <c r="O6" s="7"/>
      <c r="P6" s="13"/>
    </row>
    <row r="7" ht="22.5" customHeight="1">
      <c r="A7" s="5" t="s">
        <v>554</v>
      </c>
      <c r="B7" s="5" t="s">
        <v>540</v>
      </c>
      <c r="C7" s="5" t="s">
        <v>555</v>
      </c>
      <c r="D7" s="6" t="s">
        <v>556</v>
      </c>
      <c r="E7" s="5" t="s">
        <v>557</v>
      </c>
      <c r="F7" s="5" t="s">
        <v>558</v>
      </c>
      <c r="G7" s="7"/>
      <c r="H7" s="8"/>
      <c r="I7" s="5"/>
      <c r="J7" s="9">
        <v>45785.0</v>
      </c>
      <c r="K7" s="9">
        <v>45785.0</v>
      </c>
      <c r="L7" s="11">
        <v>30000.0</v>
      </c>
      <c r="M7" s="6">
        <v>0.0</v>
      </c>
      <c r="N7" s="7"/>
      <c r="O7" s="7"/>
      <c r="P7" s="13"/>
    </row>
    <row r="8" ht="22.5" customHeight="1">
      <c r="A8" s="5" t="s">
        <v>559</v>
      </c>
      <c r="B8" s="5" t="s">
        <v>540</v>
      </c>
      <c r="C8" s="5" t="s">
        <v>560</v>
      </c>
      <c r="D8" s="6" t="s">
        <v>561</v>
      </c>
      <c r="E8" s="5" t="s">
        <v>433</v>
      </c>
      <c r="F8" s="5" t="s">
        <v>562</v>
      </c>
      <c r="G8" s="7"/>
      <c r="H8" s="8"/>
      <c r="I8" s="5" t="s">
        <v>563</v>
      </c>
      <c r="J8" s="9">
        <v>45785.0</v>
      </c>
      <c r="K8" s="9">
        <v>45786.0</v>
      </c>
      <c r="L8" s="11">
        <v>35000.0</v>
      </c>
      <c r="M8" s="6">
        <v>10000.0</v>
      </c>
      <c r="N8" s="7"/>
      <c r="O8" s="7"/>
      <c r="P8" s="13"/>
    </row>
    <row r="9" ht="22.5" customHeight="1">
      <c r="A9" s="5" t="s">
        <v>564</v>
      </c>
      <c r="B9" s="5" t="s">
        <v>540</v>
      </c>
      <c r="C9" s="5" t="s">
        <v>106</v>
      </c>
      <c r="D9" s="6" t="s">
        <v>565</v>
      </c>
      <c r="E9" s="5" t="s">
        <v>98</v>
      </c>
      <c r="F9" s="5" t="s">
        <v>566</v>
      </c>
      <c r="G9" s="7"/>
      <c r="H9" s="8"/>
      <c r="I9" s="5"/>
      <c r="J9" s="40">
        <v>45780.0</v>
      </c>
      <c r="K9" s="14">
        <v>45787.0</v>
      </c>
      <c r="L9" s="6">
        <v>350000.0</v>
      </c>
      <c r="M9" s="6">
        <v>0.0</v>
      </c>
      <c r="N9" s="7"/>
      <c r="O9" s="7"/>
      <c r="P9" s="7"/>
    </row>
    <row r="10" ht="22.5" customHeight="1">
      <c r="A10" s="5" t="s">
        <v>134</v>
      </c>
      <c r="B10" s="5" t="s">
        <v>567</v>
      </c>
      <c r="C10" s="5" t="s">
        <v>106</v>
      </c>
      <c r="D10" s="6" t="s">
        <v>65</v>
      </c>
      <c r="E10" s="5" t="s">
        <v>323</v>
      </c>
      <c r="F10" s="5" t="s">
        <v>568</v>
      </c>
      <c r="G10" s="7"/>
      <c r="H10" s="8"/>
      <c r="I10" s="5" t="s">
        <v>569</v>
      </c>
      <c r="J10" s="9">
        <v>45792.0</v>
      </c>
      <c r="K10" s="9">
        <v>45792.0</v>
      </c>
      <c r="L10" s="6">
        <v>30000.0</v>
      </c>
      <c r="M10" s="6">
        <v>0.0</v>
      </c>
      <c r="N10" s="7"/>
      <c r="O10" s="7"/>
      <c r="P10" s="7"/>
    </row>
    <row r="11" ht="22.5" customHeight="1">
      <c r="A11" s="5" t="s">
        <v>570</v>
      </c>
      <c r="B11" s="5" t="s">
        <v>105</v>
      </c>
      <c r="C11" s="5" t="s">
        <v>18</v>
      </c>
      <c r="D11" s="6" t="s">
        <v>571</v>
      </c>
      <c r="E11" s="5" t="s">
        <v>572</v>
      </c>
      <c r="F11" s="5" t="s">
        <v>160</v>
      </c>
      <c r="G11" s="7"/>
      <c r="H11" s="8"/>
      <c r="I11" s="5"/>
      <c r="J11" s="9">
        <v>45791.0</v>
      </c>
      <c r="K11" s="9">
        <v>45791.0</v>
      </c>
      <c r="L11" s="15">
        <v>20000.0</v>
      </c>
      <c r="M11" s="6">
        <v>3000.0</v>
      </c>
      <c r="N11" s="7"/>
      <c r="O11" s="7"/>
      <c r="P11" s="7"/>
    </row>
    <row r="12" ht="22.5" customHeight="1">
      <c r="A12" s="5" t="s">
        <v>573</v>
      </c>
      <c r="B12" s="5" t="s">
        <v>96</v>
      </c>
      <c r="C12" s="5" t="s">
        <v>574</v>
      </c>
      <c r="D12" s="6" t="s">
        <v>247</v>
      </c>
      <c r="E12" s="5" t="s">
        <v>575</v>
      </c>
      <c r="F12" s="5" t="s">
        <v>106</v>
      </c>
      <c r="G12" s="7"/>
      <c r="H12" s="8"/>
      <c r="I12" s="5"/>
      <c r="J12" s="9">
        <v>45794.0</v>
      </c>
      <c r="K12" s="9">
        <v>45794.0</v>
      </c>
      <c r="L12" s="6">
        <v>25000.0</v>
      </c>
      <c r="M12" s="6">
        <v>0.0</v>
      </c>
      <c r="N12" s="7"/>
      <c r="O12" s="7"/>
      <c r="P12" s="7"/>
    </row>
    <row r="13" ht="22.5" customHeight="1">
      <c r="A13" s="5" t="s">
        <v>134</v>
      </c>
      <c r="B13" s="5" t="s">
        <v>96</v>
      </c>
      <c r="C13" s="5" t="s">
        <v>576</v>
      </c>
      <c r="D13" s="6" t="s">
        <v>577</v>
      </c>
      <c r="E13" s="5" t="s">
        <v>578</v>
      </c>
      <c r="F13" s="5" t="s">
        <v>579</v>
      </c>
      <c r="G13" s="7"/>
      <c r="H13" s="8"/>
      <c r="I13" s="8"/>
      <c r="J13" s="40">
        <v>45799.0</v>
      </c>
      <c r="K13" s="40">
        <v>45799.0</v>
      </c>
      <c r="L13" s="6">
        <v>50000.0</v>
      </c>
      <c r="M13" s="6">
        <v>0.0</v>
      </c>
      <c r="N13" s="7"/>
      <c r="O13" s="7"/>
      <c r="P13" s="7"/>
    </row>
    <row r="14" ht="22.5" customHeight="1">
      <c r="A14" s="5" t="s">
        <v>134</v>
      </c>
      <c r="B14" s="5" t="s">
        <v>96</v>
      </c>
      <c r="C14" s="5" t="s">
        <v>576</v>
      </c>
      <c r="D14" s="6" t="s">
        <v>580</v>
      </c>
      <c r="E14" s="5" t="s">
        <v>304</v>
      </c>
      <c r="F14" s="5" t="s">
        <v>581</v>
      </c>
      <c r="G14" s="7"/>
      <c r="H14" s="8"/>
      <c r="I14" s="5"/>
      <c r="J14" s="16">
        <v>45799.0</v>
      </c>
      <c r="K14" s="16">
        <v>45799.0</v>
      </c>
      <c r="L14" s="6">
        <v>80000.0</v>
      </c>
      <c r="M14" s="6">
        <v>0.0</v>
      </c>
      <c r="N14" s="7"/>
      <c r="O14" s="7"/>
      <c r="P14" s="7"/>
    </row>
    <row r="15" ht="22.5" customHeight="1">
      <c r="A15" s="5" t="s">
        <v>95</v>
      </c>
      <c r="B15" s="5" t="s">
        <v>537</v>
      </c>
      <c r="C15" s="5" t="s">
        <v>18</v>
      </c>
      <c r="D15" s="6" t="s">
        <v>582</v>
      </c>
      <c r="E15" s="5" t="s">
        <v>572</v>
      </c>
      <c r="F15" s="5" t="s">
        <v>583</v>
      </c>
      <c r="G15" s="7"/>
      <c r="H15" s="8"/>
      <c r="I15" s="5"/>
      <c r="J15" s="40">
        <v>45798.0</v>
      </c>
      <c r="K15" s="40">
        <v>45798.0</v>
      </c>
      <c r="L15" s="6">
        <v>75000.0</v>
      </c>
      <c r="M15" s="6">
        <v>10000.0</v>
      </c>
      <c r="N15" s="7"/>
      <c r="O15" s="7"/>
      <c r="P15" s="7"/>
    </row>
    <row r="16" ht="22.5" customHeight="1">
      <c r="A16" s="5" t="s">
        <v>584</v>
      </c>
      <c r="B16" s="5" t="s">
        <v>537</v>
      </c>
      <c r="C16" s="5" t="s">
        <v>585</v>
      </c>
      <c r="D16" s="6" t="s">
        <v>586</v>
      </c>
      <c r="E16" s="5" t="s">
        <v>98</v>
      </c>
      <c r="F16" s="5" t="s">
        <v>587</v>
      </c>
      <c r="G16" s="7"/>
      <c r="H16" s="8"/>
      <c r="I16" s="8"/>
      <c r="J16" s="40">
        <v>45805.0</v>
      </c>
      <c r="K16" s="40">
        <v>45805.0</v>
      </c>
      <c r="L16" s="6">
        <v>70000.0</v>
      </c>
      <c r="M16" s="6">
        <v>0.0</v>
      </c>
      <c r="N16" s="7"/>
      <c r="O16" s="7"/>
      <c r="P16" s="7"/>
    </row>
    <row r="17" ht="22.5" customHeight="1">
      <c r="A17" s="5" t="s">
        <v>588</v>
      </c>
      <c r="B17" s="5" t="s">
        <v>130</v>
      </c>
      <c r="C17" s="5" t="s">
        <v>585</v>
      </c>
      <c r="D17" s="6" t="s">
        <v>589</v>
      </c>
      <c r="E17" s="5" t="s">
        <v>433</v>
      </c>
      <c r="F17" s="5" t="s">
        <v>590</v>
      </c>
      <c r="G17" s="7"/>
      <c r="H17" s="8"/>
      <c r="I17" s="8"/>
      <c r="J17" s="40">
        <v>45803.0</v>
      </c>
      <c r="K17" s="40">
        <v>45806.0</v>
      </c>
      <c r="L17" s="6">
        <v>315000.0</v>
      </c>
      <c r="M17" s="6">
        <v>34000.0</v>
      </c>
      <c r="N17" s="7"/>
      <c r="O17" s="7"/>
      <c r="P17" s="7"/>
    </row>
    <row r="18" ht="22.5" customHeight="1">
      <c r="A18" s="5" t="s">
        <v>591</v>
      </c>
      <c r="B18" s="5" t="s">
        <v>540</v>
      </c>
      <c r="C18" s="5" t="s">
        <v>576</v>
      </c>
      <c r="D18" s="6" t="s">
        <v>239</v>
      </c>
      <c r="E18" s="5" t="s">
        <v>592</v>
      </c>
      <c r="F18" s="5" t="s">
        <v>593</v>
      </c>
      <c r="G18" s="7"/>
      <c r="H18" s="8"/>
      <c r="I18" s="8"/>
      <c r="J18" s="40">
        <v>45806.0</v>
      </c>
      <c r="K18" s="40">
        <v>45806.0</v>
      </c>
      <c r="L18" s="6">
        <v>120000.0</v>
      </c>
      <c r="M18" s="6">
        <v>20000.0</v>
      </c>
      <c r="N18" s="7"/>
      <c r="O18" s="7"/>
      <c r="P18" s="7"/>
    </row>
    <row r="19" ht="22.5" customHeight="1">
      <c r="A19" s="5" t="s">
        <v>594</v>
      </c>
      <c r="B19" s="5" t="s">
        <v>540</v>
      </c>
      <c r="C19" s="5" t="s">
        <v>576</v>
      </c>
      <c r="D19" s="6" t="s">
        <v>595</v>
      </c>
      <c r="E19" s="5" t="s">
        <v>596</v>
      </c>
      <c r="F19" s="5" t="s">
        <v>597</v>
      </c>
      <c r="G19" s="7"/>
      <c r="H19" s="8"/>
      <c r="I19" s="8"/>
      <c r="J19" s="40">
        <v>45804.0</v>
      </c>
      <c r="K19" s="40">
        <v>45804.0</v>
      </c>
      <c r="L19" s="6">
        <v>60000.0</v>
      </c>
      <c r="M19" s="6">
        <v>0.0</v>
      </c>
      <c r="N19" s="7"/>
      <c r="O19" s="7"/>
      <c r="P19" s="7"/>
    </row>
    <row r="20" ht="22.5" customHeight="1">
      <c r="A20" s="5" t="s">
        <v>573</v>
      </c>
      <c r="B20" s="5" t="s">
        <v>96</v>
      </c>
      <c r="C20" s="5" t="s">
        <v>576</v>
      </c>
      <c r="D20" s="6" t="s">
        <v>598</v>
      </c>
      <c r="E20" s="5" t="s">
        <v>114</v>
      </c>
      <c r="F20" s="5" t="s">
        <v>599</v>
      </c>
      <c r="G20" s="7"/>
      <c r="H20" s="8"/>
      <c r="I20" s="8"/>
      <c r="J20" s="40">
        <v>45804.0</v>
      </c>
      <c r="K20" s="40">
        <v>45804.0</v>
      </c>
      <c r="L20" s="6">
        <v>40000.0</v>
      </c>
      <c r="M20" s="6">
        <v>0.0</v>
      </c>
      <c r="N20" s="7"/>
      <c r="O20" s="7"/>
      <c r="P20" s="7"/>
    </row>
    <row r="21" ht="22.5" customHeight="1">
      <c r="A21" s="5"/>
      <c r="B21" s="5"/>
      <c r="C21" s="5"/>
      <c r="D21" s="6"/>
      <c r="E21" s="5"/>
      <c r="F21" s="5"/>
      <c r="G21" s="7"/>
      <c r="H21" s="8"/>
      <c r="I21" s="5"/>
      <c r="J21" s="40"/>
      <c r="K21" s="40"/>
      <c r="L21" s="6"/>
      <c r="M21" s="6"/>
      <c r="N21" s="7"/>
      <c r="O21" s="7"/>
      <c r="P21" s="7"/>
    </row>
    <row r="22" ht="22.5" customHeight="1">
      <c r="A22" s="5"/>
      <c r="B22" s="5"/>
      <c r="C22" s="5"/>
      <c r="D22" s="6"/>
      <c r="E22" s="5"/>
      <c r="F22" s="5"/>
      <c r="G22" s="7"/>
      <c r="H22" s="8"/>
      <c r="I22" s="5"/>
      <c r="J22" s="40"/>
      <c r="K22" s="40"/>
      <c r="L22" s="6"/>
      <c r="M22" s="6"/>
      <c r="N22" s="7"/>
      <c r="O22" s="7"/>
      <c r="P22" s="7"/>
    </row>
    <row r="23" ht="22.5" customHeight="1">
      <c r="A23" s="5"/>
      <c r="B23" s="5"/>
      <c r="C23" s="5"/>
      <c r="D23" s="6"/>
      <c r="E23" s="5"/>
      <c r="F23" s="5"/>
      <c r="G23" s="7"/>
      <c r="H23" s="8"/>
      <c r="I23" s="5"/>
      <c r="J23" s="40"/>
      <c r="K23" s="40"/>
      <c r="L23" s="6"/>
      <c r="M23" s="6"/>
      <c r="N23" s="7"/>
      <c r="O23" s="7"/>
      <c r="P23" s="7"/>
    </row>
    <row r="24" ht="22.5" customHeight="1">
      <c r="A24" s="5"/>
      <c r="B24" s="5"/>
      <c r="C24" s="5"/>
      <c r="D24" s="6"/>
      <c r="E24" s="5"/>
      <c r="F24" s="5"/>
      <c r="G24" s="7"/>
      <c r="H24" s="8"/>
      <c r="I24" s="8"/>
      <c r="J24" s="40"/>
      <c r="K24" s="40"/>
      <c r="L24" s="6"/>
      <c r="M24" s="6"/>
      <c r="N24" s="7"/>
      <c r="O24" s="7"/>
      <c r="P24" s="7"/>
    </row>
    <row r="25" ht="22.5" customHeight="1">
      <c r="A25" s="5"/>
      <c r="B25" s="5"/>
      <c r="C25" s="5"/>
      <c r="D25" s="6"/>
      <c r="E25" s="5"/>
      <c r="F25" s="5"/>
      <c r="G25" s="7"/>
      <c r="H25" s="8"/>
      <c r="I25" s="8"/>
      <c r="J25" s="40"/>
      <c r="K25" s="40"/>
      <c r="L25" s="6"/>
      <c r="M25" s="6"/>
      <c r="N25" s="7"/>
      <c r="O25" s="7"/>
      <c r="P25" s="7"/>
    </row>
    <row r="26" ht="22.5" customHeight="1">
      <c r="A26" s="5"/>
      <c r="B26" s="5"/>
      <c r="C26" s="5"/>
      <c r="D26" s="6"/>
      <c r="E26" s="5"/>
      <c r="F26" s="5"/>
      <c r="G26" s="7"/>
      <c r="H26" s="8"/>
      <c r="I26" s="8"/>
      <c r="J26" s="40"/>
      <c r="K26" s="40"/>
      <c r="L26" s="6"/>
      <c r="M26" s="6"/>
      <c r="N26" s="7"/>
      <c r="O26" s="7"/>
      <c r="P26" s="7"/>
    </row>
    <row r="27" ht="22.5" customHeight="1">
      <c r="A27" s="5"/>
      <c r="B27" s="5"/>
      <c r="C27" s="5"/>
      <c r="D27" s="6"/>
      <c r="E27" s="5"/>
      <c r="F27" s="5"/>
      <c r="G27" s="7"/>
      <c r="H27" s="8"/>
      <c r="I27" s="8"/>
      <c r="J27" s="40"/>
      <c r="K27" s="40"/>
      <c r="L27" s="6"/>
      <c r="M27" s="6"/>
      <c r="N27" s="7"/>
      <c r="O27" s="7"/>
      <c r="P27" s="7"/>
    </row>
    <row r="28" ht="22.5" customHeight="1">
      <c r="A28" s="5"/>
      <c r="B28" s="5"/>
      <c r="C28" s="5"/>
      <c r="D28" s="6"/>
      <c r="E28" s="5"/>
      <c r="F28" s="5"/>
      <c r="G28" s="7"/>
      <c r="H28" s="8"/>
      <c r="I28" s="8"/>
      <c r="J28" s="40"/>
      <c r="K28" s="40"/>
      <c r="L28" s="6"/>
      <c r="M28" s="6"/>
      <c r="N28" s="7"/>
      <c r="O28" s="7"/>
      <c r="P28" s="7"/>
    </row>
    <row r="29" ht="22.5" customHeight="1">
      <c r="A29" s="5"/>
      <c r="B29" s="5"/>
      <c r="C29" s="5"/>
      <c r="D29" s="6"/>
      <c r="E29" s="5"/>
      <c r="F29" s="5"/>
      <c r="G29" s="7"/>
      <c r="H29" s="8"/>
      <c r="I29" s="8"/>
      <c r="J29" s="40"/>
      <c r="K29" s="40"/>
      <c r="L29" s="6"/>
      <c r="M29" s="6"/>
      <c r="N29" s="7"/>
      <c r="O29" s="7"/>
      <c r="P29" s="7"/>
    </row>
    <row r="30" ht="22.5" customHeight="1">
      <c r="A30" s="5"/>
      <c r="B30" s="5"/>
      <c r="C30" s="5"/>
      <c r="D30" s="6"/>
      <c r="E30" s="5"/>
      <c r="F30" s="5"/>
      <c r="G30" s="7"/>
      <c r="H30" s="8"/>
      <c r="I30" s="8"/>
      <c r="J30" s="40"/>
      <c r="K30" s="40"/>
      <c r="L30" s="6"/>
      <c r="M30" s="6"/>
      <c r="N30" s="7"/>
      <c r="O30" s="7"/>
      <c r="P30" s="7"/>
    </row>
  </sheetData>
  <dataValidations>
    <dataValidation allowBlank="1" showDropDown="1" sqref="A2:C30 H2:I30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14.38"/>
    <col customWidth="1" min="4" max="4" width="29.38"/>
  </cols>
  <sheetData>
    <row r="1">
      <c r="A1" s="19" t="s">
        <v>600</v>
      </c>
      <c r="C1" s="19" t="s">
        <v>601</v>
      </c>
      <c r="D1" s="19" t="s">
        <v>602</v>
      </c>
    </row>
    <row r="2">
      <c r="A2" s="19" t="s">
        <v>603</v>
      </c>
      <c r="B2" s="19">
        <v>400.0</v>
      </c>
      <c r="C2" s="27">
        <f>SUM(B2:B19)</f>
        <v>9450</v>
      </c>
      <c r="D2" s="27">
        <f>SUM(C2/20)</f>
        <v>472.5</v>
      </c>
    </row>
    <row r="3">
      <c r="A3" s="19" t="s">
        <v>604</v>
      </c>
      <c r="B3" s="19">
        <v>150.0</v>
      </c>
    </row>
    <row r="4">
      <c r="A4" s="19" t="s">
        <v>605</v>
      </c>
      <c r="B4" s="19">
        <v>50.0</v>
      </c>
    </row>
    <row r="5">
      <c r="A5" s="19" t="s">
        <v>606</v>
      </c>
      <c r="B5" s="19">
        <v>2000.0</v>
      </c>
    </row>
    <row r="7">
      <c r="A7" s="19" t="s">
        <v>607</v>
      </c>
      <c r="B7" s="19">
        <v>1000.0</v>
      </c>
    </row>
    <row r="8">
      <c r="A8" s="19" t="s">
        <v>608</v>
      </c>
      <c r="B8" s="19">
        <v>150.0</v>
      </c>
    </row>
    <row r="9">
      <c r="A9" s="19" t="s">
        <v>609</v>
      </c>
      <c r="B9" s="19">
        <v>200.0</v>
      </c>
    </row>
    <row r="10">
      <c r="A10" s="19" t="s">
        <v>610</v>
      </c>
      <c r="B10" s="19">
        <v>3000.0</v>
      </c>
    </row>
    <row r="11">
      <c r="A11" s="19" t="s">
        <v>611</v>
      </c>
      <c r="B11" s="19">
        <v>2500.0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3" max="3" width="14.38"/>
    <col customWidth="1" min="4" max="4" width="29.38"/>
    <col customWidth="1" min="5" max="5" width="25.0"/>
    <col customWidth="1" min="6" max="6" width="20.0"/>
    <col customWidth="1" min="8" max="8" width="19.38"/>
  </cols>
  <sheetData>
    <row r="1">
      <c r="A1" s="19" t="s">
        <v>600</v>
      </c>
      <c r="C1" s="48" t="s">
        <v>601</v>
      </c>
      <c r="D1" s="49" t="s">
        <v>602</v>
      </c>
      <c r="E1" s="50" t="s">
        <v>612</v>
      </c>
      <c r="F1" s="51" t="s">
        <v>613</v>
      </c>
      <c r="H1" s="19" t="s">
        <v>614</v>
      </c>
    </row>
    <row r="2">
      <c r="A2" s="19" t="s">
        <v>615</v>
      </c>
      <c r="B2" s="19">
        <v>400.0</v>
      </c>
      <c r="C2" s="52">
        <f>SUM(B2:B19)</f>
        <v>3140</v>
      </c>
      <c r="D2" s="53">
        <f>SUM(C3/20)</f>
        <v>163.28</v>
      </c>
      <c r="E2" s="50">
        <f>SUM(E6*20)</f>
        <v>4898.4</v>
      </c>
      <c r="F2" s="54">
        <f>SUM(E2-C3)</f>
        <v>1632.8</v>
      </c>
      <c r="H2" s="19" t="s">
        <v>616</v>
      </c>
      <c r="I2" s="27">
        <f>SUM(C2*0.1)</f>
        <v>314</v>
      </c>
    </row>
    <row r="3">
      <c r="A3" s="19" t="s">
        <v>617</v>
      </c>
      <c r="B3" s="19">
        <v>100.0</v>
      </c>
      <c r="C3" s="55">
        <f>SUM(C2+I2:I3)</f>
        <v>3265.6</v>
      </c>
      <c r="D3" s="56" t="s">
        <v>618</v>
      </c>
      <c r="H3" s="19" t="s">
        <v>619</v>
      </c>
      <c r="I3" s="27">
        <f>SUM(C2*0.04)</f>
        <v>125.6</v>
      </c>
    </row>
    <row r="4">
      <c r="A4" s="19" t="s">
        <v>620</v>
      </c>
      <c r="B4" s="19">
        <v>50.0</v>
      </c>
      <c r="C4" s="57">
        <f>SUM(C3/20)/8</f>
        <v>20.41</v>
      </c>
      <c r="D4" s="58" t="s">
        <v>621</v>
      </c>
      <c r="F4" s="59" t="s">
        <v>622</v>
      </c>
    </row>
    <row r="5">
      <c r="A5" s="19" t="s">
        <v>623</v>
      </c>
      <c r="B5" s="19">
        <v>30.0</v>
      </c>
      <c r="C5" s="59">
        <f>SUM(C4*2)</f>
        <v>40.82</v>
      </c>
      <c r="D5" s="59" t="s">
        <v>624</v>
      </c>
      <c r="E5" s="60" t="s">
        <v>625</v>
      </c>
      <c r="F5" s="61">
        <f>SUM(F2/2)</f>
        <v>816.4</v>
      </c>
    </row>
    <row r="6">
      <c r="A6" s="19" t="s">
        <v>626</v>
      </c>
      <c r="B6" s="19">
        <v>0.0</v>
      </c>
      <c r="E6" s="60">
        <f>SUM(C5*6)</f>
        <v>244.92</v>
      </c>
    </row>
    <row r="7">
      <c r="A7" s="19" t="s">
        <v>608</v>
      </c>
      <c r="B7" s="19">
        <v>60.0</v>
      </c>
    </row>
    <row r="8">
      <c r="A8" s="19" t="s">
        <v>627</v>
      </c>
    </row>
    <row r="9">
      <c r="A9" s="19" t="s">
        <v>628</v>
      </c>
      <c r="B9" s="19">
        <v>2000.0</v>
      </c>
    </row>
    <row r="10">
      <c r="A10" s="19" t="s">
        <v>629</v>
      </c>
    </row>
    <row r="11">
      <c r="A11" s="19" t="s">
        <v>630</v>
      </c>
    </row>
    <row r="12">
      <c r="A12" s="19" t="s">
        <v>631</v>
      </c>
    </row>
    <row r="13">
      <c r="A13" s="19" t="s">
        <v>632</v>
      </c>
      <c r="B13" s="19">
        <v>500.0</v>
      </c>
    </row>
    <row r="14">
      <c r="A14" s="19" t="s">
        <v>633</v>
      </c>
    </row>
    <row r="15">
      <c r="A15" s="19" t="s">
        <v>634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3" max="3" width="14.38"/>
    <col customWidth="1" min="4" max="4" width="29.38"/>
    <col customWidth="1" min="5" max="5" width="25.0"/>
    <col customWidth="1" min="6" max="6" width="20.0"/>
    <col customWidth="1" min="8" max="8" width="19.38"/>
  </cols>
  <sheetData>
    <row r="1">
      <c r="A1" s="19" t="s">
        <v>600</v>
      </c>
      <c r="C1" s="19" t="s">
        <v>601</v>
      </c>
      <c r="D1" s="19" t="s">
        <v>602</v>
      </c>
      <c r="E1" s="19" t="s">
        <v>612</v>
      </c>
      <c r="F1" s="19" t="s">
        <v>613</v>
      </c>
      <c r="H1" s="19" t="s">
        <v>614</v>
      </c>
    </row>
    <row r="2">
      <c r="A2" s="19" t="s">
        <v>604</v>
      </c>
      <c r="B2" s="19">
        <v>100.0</v>
      </c>
      <c r="C2" s="27">
        <f>SUM(B2:B19)</f>
        <v>2650</v>
      </c>
      <c r="D2" s="27">
        <f>SUM(C3/12)</f>
        <v>229.6666667</v>
      </c>
      <c r="E2" s="19">
        <v>15000.0</v>
      </c>
      <c r="F2" s="54">
        <f>SUM(E2-C3)</f>
        <v>12244</v>
      </c>
      <c r="H2" s="19" t="s">
        <v>616</v>
      </c>
      <c r="I2" s="27">
        <f>SUM(C2*0.1)</f>
        <v>265</v>
      </c>
    </row>
    <row r="3">
      <c r="A3" s="19" t="s">
        <v>635</v>
      </c>
      <c r="B3" s="19">
        <v>50.0</v>
      </c>
      <c r="C3" s="55">
        <f>SUM(C2+I2:I3)</f>
        <v>2756</v>
      </c>
      <c r="D3" s="56" t="s">
        <v>618</v>
      </c>
      <c r="H3" s="19" t="s">
        <v>619</v>
      </c>
      <c r="I3" s="27">
        <f>SUM(C2*0.04)</f>
        <v>106</v>
      </c>
    </row>
    <row r="4">
      <c r="A4" s="19" t="s">
        <v>603</v>
      </c>
      <c r="B4" s="19">
        <v>450.0</v>
      </c>
    </row>
    <row r="5">
      <c r="A5" s="19" t="s">
        <v>605</v>
      </c>
      <c r="B5" s="19">
        <v>50.0</v>
      </c>
      <c r="E5" s="19" t="s">
        <v>625</v>
      </c>
    </row>
    <row r="6">
      <c r="A6" s="19" t="s">
        <v>606</v>
      </c>
      <c r="B6" s="19">
        <v>0.0</v>
      </c>
      <c r="E6" s="27">
        <f>SUM(E2/20)</f>
        <v>750</v>
      </c>
    </row>
    <row r="7">
      <c r="A7" s="19" t="s">
        <v>636</v>
      </c>
      <c r="B7" s="19">
        <v>2000.0</v>
      </c>
      <c r="D7" s="19" t="s">
        <v>637</v>
      </c>
    </row>
    <row r="8">
      <c r="A8" s="19" t="s">
        <v>638</v>
      </c>
      <c r="B8" s="19">
        <v>0.0</v>
      </c>
      <c r="D8" s="27">
        <f>SUM(C3/20)/7</f>
        <v>19.68571429</v>
      </c>
    </row>
    <row r="9">
      <c r="A9" s="19" t="s">
        <v>639</v>
      </c>
    </row>
    <row r="10">
      <c r="A10" s="19" t="s">
        <v>617</v>
      </c>
    </row>
    <row r="11">
      <c r="A11" s="19" t="s">
        <v>620</v>
      </c>
    </row>
    <row r="12">
      <c r="A12" s="19" t="s">
        <v>608</v>
      </c>
    </row>
    <row r="13">
      <c r="A13" s="19" t="s">
        <v>609</v>
      </c>
    </row>
    <row r="14">
      <c r="A14" s="19" t="s">
        <v>640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7.63"/>
    <col customWidth="1" min="3" max="3" width="18.38"/>
    <col customWidth="1" min="4" max="4" width="22.63"/>
    <col customWidth="1" min="5" max="6" width="31.0"/>
    <col customWidth="1" min="7" max="7" width="15.25"/>
    <col customWidth="1" min="8" max="8" width="12.25"/>
    <col customWidth="1" min="9" max="9" width="22.63"/>
    <col customWidth="1" min="10" max="10" width="20.13"/>
    <col customWidth="1" min="11" max="11" width="17.5"/>
    <col customWidth="1" min="12" max="12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</row>
    <row r="2" ht="22.5" customHeight="1">
      <c r="A2" s="5" t="s">
        <v>134</v>
      </c>
      <c r="B2" s="5" t="s">
        <v>96</v>
      </c>
      <c r="C2" s="5" t="s">
        <v>18</v>
      </c>
      <c r="D2" s="6" t="s">
        <v>641</v>
      </c>
      <c r="E2" s="5" t="s">
        <v>527</v>
      </c>
      <c r="F2" s="5" t="s">
        <v>642</v>
      </c>
      <c r="G2" s="7"/>
      <c r="H2" s="8"/>
      <c r="I2" s="5"/>
      <c r="J2" s="9">
        <v>45748.0</v>
      </c>
      <c r="K2" s="10">
        <v>45748.0</v>
      </c>
      <c r="L2" s="11">
        <v>60000.0</v>
      </c>
      <c r="M2" s="11">
        <v>26000.0</v>
      </c>
      <c r="N2" s="12">
        <f t="shared" ref="N2:O2" si="1">SUM(L2:L33)</f>
        <v>1920000</v>
      </c>
      <c r="O2" s="12">
        <f t="shared" si="1"/>
        <v>374400</v>
      </c>
      <c r="P2" s="12">
        <f>SUM(N2-O2)</f>
        <v>1545600</v>
      </c>
    </row>
    <row r="3" ht="22.5" customHeight="1">
      <c r="A3" s="6" t="s">
        <v>643</v>
      </c>
      <c r="B3" s="5" t="s">
        <v>540</v>
      </c>
      <c r="C3" s="6" t="s">
        <v>18</v>
      </c>
      <c r="D3" s="6" t="s">
        <v>644</v>
      </c>
      <c r="E3" s="5" t="s">
        <v>645</v>
      </c>
      <c r="F3" s="5" t="s">
        <v>63</v>
      </c>
      <c r="G3" s="7"/>
      <c r="H3" s="8"/>
      <c r="I3" s="5"/>
      <c r="J3" s="9">
        <v>45748.0</v>
      </c>
      <c r="K3" s="10">
        <v>45748.0</v>
      </c>
      <c r="L3" s="11">
        <v>40000.0</v>
      </c>
      <c r="M3" s="11">
        <v>10000.0</v>
      </c>
      <c r="N3" s="7"/>
      <c r="O3" s="7"/>
      <c r="P3" s="13"/>
    </row>
    <row r="4" ht="22.5" customHeight="1">
      <c r="A4" s="6" t="s">
        <v>646</v>
      </c>
      <c r="B4" s="5" t="s">
        <v>96</v>
      </c>
      <c r="C4" s="6" t="s">
        <v>647</v>
      </c>
      <c r="D4" s="6" t="s">
        <v>648</v>
      </c>
      <c r="E4" s="5" t="s">
        <v>477</v>
      </c>
      <c r="F4" s="5" t="s">
        <v>649</v>
      </c>
      <c r="G4" s="7"/>
      <c r="H4" s="8"/>
      <c r="I4" s="5"/>
      <c r="J4" s="9">
        <v>45748.0</v>
      </c>
      <c r="K4" s="10">
        <v>45748.0</v>
      </c>
      <c r="L4" s="11">
        <v>25000.0</v>
      </c>
      <c r="M4" s="11">
        <v>0.0</v>
      </c>
      <c r="N4" s="7"/>
      <c r="O4" s="7"/>
      <c r="P4" s="13"/>
    </row>
    <row r="5" ht="22.5" customHeight="1">
      <c r="A5" s="5" t="s">
        <v>650</v>
      </c>
      <c r="B5" s="5" t="s">
        <v>540</v>
      </c>
      <c r="C5" s="6" t="s">
        <v>106</v>
      </c>
      <c r="D5" s="6" t="s">
        <v>651</v>
      </c>
      <c r="E5" s="5" t="s">
        <v>652</v>
      </c>
      <c r="F5" s="5" t="s">
        <v>653</v>
      </c>
      <c r="G5" s="7"/>
      <c r="H5" s="8"/>
      <c r="I5" s="5"/>
      <c r="J5" s="10">
        <v>45755.0</v>
      </c>
      <c r="K5" s="9">
        <v>45755.0</v>
      </c>
      <c r="L5" s="11">
        <v>50000.0</v>
      </c>
      <c r="M5" s="11">
        <v>0.0</v>
      </c>
      <c r="N5" s="7"/>
      <c r="O5" s="7"/>
      <c r="P5" s="13"/>
    </row>
    <row r="6" ht="22.5" customHeight="1">
      <c r="A6" s="5" t="s">
        <v>654</v>
      </c>
      <c r="B6" s="5" t="s">
        <v>130</v>
      </c>
      <c r="C6" s="6" t="s">
        <v>18</v>
      </c>
      <c r="D6" s="6" t="s">
        <v>655</v>
      </c>
      <c r="E6" s="5" t="s">
        <v>656</v>
      </c>
      <c r="F6" s="5" t="s">
        <v>657</v>
      </c>
      <c r="G6" s="7"/>
      <c r="H6" s="8"/>
      <c r="I6" s="5"/>
      <c r="J6" s="9">
        <v>45755.0</v>
      </c>
      <c r="K6" s="9">
        <v>45755.0</v>
      </c>
      <c r="L6" s="11">
        <v>120000.0</v>
      </c>
      <c r="M6" s="6">
        <v>20000.0</v>
      </c>
      <c r="N6" s="7"/>
      <c r="O6" s="7"/>
      <c r="P6" s="13"/>
    </row>
    <row r="7" ht="22.5" customHeight="1">
      <c r="A7" s="5" t="s">
        <v>658</v>
      </c>
      <c r="B7" s="5" t="s">
        <v>540</v>
      </c>
      <c r="C7" s="5" t="s">
        <v>68</v>
      </c>
      <c r="D7" s="6" t="s">
        <v>659</v>
      </c>
      <c r="E7" s="5" t="s">
        <v>660</v>
      </c>
      <c r="F7" s="5" t="s">
        <v>661</v>
      </c>
      <c r="G7" s="7"/>
      <c r="H7" s="8"/>
      <c r="I7" s="5"/>
      <c r="J7" s="9">
        <v>45756.0</v>
      </c>
      <c r="K7" s="9">
        <v>45786.0</v>
      </c>
      <c r="L7" s="11">
        <v>70000.0</v>
      </c>
      <c r="M7" s="6">
        <v>0.0</v>
      </c>
      <c r="N7" s="7"/>
      <c r="O7" s="7"/>
      <c r="P7" s="13"/>
    </row>
    <row r="8" ht="22.5" customHeight="1">
      <c r="A8" s="5" t="s">
        <v>134</v>
      </c>
      <c r="B8" s="5" t="s">
        <v>96</v>
      </c>
      <c r="C8" s="5" t="s">
        <v>647</v>
      </c>
      <c r="D8" s="6" t="s">
        <v>662</v>
      </c>
      <c r="E8" s="5" t="s">
        <v>663</v>
      </c>
      <c r="F8" s="5" t="s">
        <v>664</v>
      </c>
      <c r="G8" s="7"/>
      <c r="H8" s="8"/>
      <c r="I8" s="5"/>
      <c r="J8" s="9">
        <v>45756.0</v>
      </c>
      <c r="K8" s="9">
        <v>45756.0</v>
      </c>
      <c r="L8" s="11">
        <v>30000.0</v>
      </c>
      <c r="M8" s="6">
        <v>0.0</v>
      </c>
      <c r="N8" s="7"/>
      <c r="O8" s="7"/>
      <c r="P8" s="13"/>
    </row>
    <row r="9" ht="22.5" customHeight="1">
      <c r="A9" s="5" t="s">
        <v>134</v>
      </c>
      <c r="B9" s="5" t="s">
        <v>96</v>
      </c>
      <c r="C9" s="5" t="s">
        <v>647</v>
      </c>
      <c r="D9" s="6" t="s">
        <v>665</v>
      </c>
      <c r="E9" s="5"/>
      <c r="F9" s="5" t="s">
        <v>666</v>
      </c>
      <c r="G9" s="7"/>
      <c r="H9" s="8"/>
      <c r="I9" s="5"/>
      <c r="J9" s="14">
        <v>45757.0</v>
      </c>
      <c r="K9" s="14">
        <v>45757.0</v>
      </c>
      <c r="L9" s="6">
        <v>30000.0</v>
      </c>
      <c r="M9" s="6">
        <v>0.0</v>
      </c>
      <c r="N9" s="7"/>
      <c r="O9" s="7"/>
      <c r="P9" s="7"/>
    </row>
    <row r="10" ht="22.5" customHeight="1">
      <c r="A10" s="5" t="s">
        <v>269</v>
      </c>
      <c r="B10" s="5" t="s">
        <v>96</v>
      </c>
      <c r="C10" s="5" t="s">
        <v>18</v>
      </c>
      <c r="D10" s="6" t="s">
        <v>667</v>
      </c>
      <c r="E10" s="5" t="s">
        <v>668</v>
      </c>
      <c r="F10" s="5" t="s">
        <v>669</v>
      </c>
      <c r="G10" s="7"/>
      <c r="H10" s="8"/>
      <c r="I10" s="5"/>
      <c r="J10" s="9">
        <v>45758.0</v>
      </c>
      <c r="K10" s="9">
        <v>45758.0</v>
      </c>
      <c r="L10" s="6">
        <v>100000.0</v>
      </c>
      <c r="M10" s="6">
        <v>20000.0</v>
      </c>
      <c r="N10" s="7"/>
      <c r="O10" s="7"/>
      <c r="P10" s="7"/>
    </row>
    <row r="11" ht="22.5" customHeight="1">
      <c r="A11" s="5" t="s">
        <v>467</v>
      </c>
      <c r="B11" s="5" t="s">
        <v>130</v>
      </c>
      <c r="C11" s="5" t="s">
        <v>18</v>
      </c>
      <c r="D11" s="6" t="s">
        <v>670</v>
      </c>
      <c r="E11" s="5" t="s">
        <v>671</v>
      </c>
      <c r="F11" s="5" t="s">
        <v>672</v>
      </c>
      <c r="G11" s="7"/>
      <c r="H11" s="8"/>
      <c r="I11" s="5"/>
      <c r="J11" s="9">
        <v>45757.0</v>
      </c>
      <c r="K11" s="9">
        <v>45762.0</v>
      </c>
      <c r="L11" s="15">
        <v>190000.0</v>
      </c>
      <c r="M11" s="6">
        <v>36000.0</v>
      </c>
      <c r="N11" s="7"/>
      <c r="O11" s="7"/>
      <c r="P11" s="7"/>
    </row>
    <row r="12" ht="22.5" customHeight="1">
      <c r="A12" s="5" t="s">
        <v>673</v>
      </c>
      <c r="B12" s="5" t="s">
        <v>540</v>
      </c>
      <c r="C12" s="5" t="s">
        <v>18</v>
      </c>
      <c r="D12" s="6" t="s">
        <v>674</v>
      </c>
      <c r="E12" s="5" t="s">
        <v>675</v>
      </c>
      <c r="F12" s="5" t="s">
        <v>676</v>
      </c>
      <c r="G12" s="7"/>
      <c r="H12" s="8"/>
      <c r="I12" s="5"/>
      <c r="J12" s="9">
        <v>45761.0</v>
      </c>
      <c r="K12" s="9">
        <v>45763.0</v>
      </c>
      <c r="L12" s="6">
        <v>130000.0</v>
      </c>
      <c r="M12" s="6">
        <v>0.0</v>
      </c>
      <c r="N12" s="7"/>
      <c r="O12" s="7"/>
      <c r="P12" s="7"/>
    </row>
    <row r="13" ht="22.5" customHeight="1">
      <c r="A13" s="5" t="s">
        <v>646</v>
      </c>
      <c r="B13" s="5" t="s">
        <v>96</v>
      </c>
      <c r="C13" s="5" t="s">
        <v>68</v>
      </c>
      <c r="D13" s="6" t="s">
        <v>363</v>
      </c>
      <c r="E13" s="5" t="s">
        <v>677</v>
      </c>
      <c r="F13" s="5" t="s">
        <v>678</v>
      </c>
      <c r="G13" s="7"/>
      <c r="H13" s="8"/>
      <c r="I13" s="8"/>
      <c r="J13" s="40">
        <v>45763.0</v>
      </c>
      <c r="K13" s="40">
        <v>45763.0</v>
      </c>
      <c r="L13" s="6">
        <v>30000.0</v>
      </c>
      <c r="M13" s="6">
        <v>0.0</v>
      </c>
      <c r="N13" s="7"/>
      <c r="O13" s="7"/>
      <c r="P13" s="7"/>
    </row>
    <row r="14" ht="22.5" customHeight="1">
      <c r="A14" s="5" t="s">
        <v>446</v>
      </c>
      <c r="B14" s="5" t="s">
        <v>540</v>
      </c>
      <c r="C14" s="5" t="s">
        <v>679</v>
      </c>
      <c r="D14" s="6" t="s">
        <v>680</v>
      </c>
      <c r="E14" s="5" t="s">
        <v>681</v>
      </c>
      <c r="F14" s="5" t="s">
        <v>682</v>
      </c>
      <c r="G14" s="7"/>
      <c r="H14" s="8"/>
      <c r="I14" s="5" t="s">
        <v>683</v>
      </c>
      <c r="J14" s="16">
        <v>45754.0</v>
      </c>
      <c r="K14" s="16">
        <v>45766.0</v>
      </c>
      <c r="L14" s="6">
        <v>500000.0</v>
      </c>
      <c r="M14" s="6">
        <v>200000.0</v>
      </c>
      <c r="N14" s="7"/>
      <c r="O14" s="7"/>
      <c r="P14" s="7"/>
    </row>
    <row r="15" ht="22.5" customHeight="1">
      <c r="A15" s="5" t="s">
        <v>684</v>
      </c>
      <c r="B15" s="5" t="s">
        <v>685</v>
      </c>
      <c r="C15" s="5" t="s">
        <v>525</v>
      </c>
      <c r="D15" s="6" t="s">
        <v>686</v>
      </c>
      <c r="E15" s="5" t="s">
        <v>687</v>
      </c>
      <c r="F15" s="5" t="s">
        <v>688</v>
      </c>
      <c r="G15" s="7"/>
      <c r="H15" s="8"/>
      <c r="I15" s="5" t="s">
        <v>689</v>
      </c>
      <c r="J15" s="40">
        <v>45766.0</v>
      </c>
      <c r="K15" s="40">
        <v>45766.0</v>
      </c>
      <c r="L15" s="6">
        <v>25000.0</v>
      </c>
      <c r="M15" s="6">
        <v>0.0</v>
      </c>
      <c r="N15" s="7"/>
      <c r="O15" s="7"/>
      <c r="P15" s="7"/>
    </row>
    <row r="16" ht="22.5" customHeight="1">
      <c r="A16" s="5" t="s">
        <v>690</v>
      </c>
      <c r="B16" s="5" t="s">
        <v>96</v>
      </c>
      <c r="C16" s="5" t="s">
        <v>68</v>
      </c>
      <c r="D16" s="6"/>
      <c r="E16" s="5"/>
      <c r="F16" s="5" t="s">
        <v>691</v>
      </c>
      <c r="G16" s="7"/>
      <c r="H16" s="8"/>
      <c r="I16" s="8"/>
      <c r="J16" s="40">
        <v>12897.0</v>
      </c>
      <c r="K16" s="40">
        <v>45770.0</v>
      </c>
      <c r="L16" s="6">
        <v>15000.0</v>
      </c>
      <c r="M16" s="6">
        <v>3400.0</v>
      </c>
      <c r="N16" s="7"/>
      <c r="O16" s="7"/>
      <c r="P16" s="7"/>
    </row>
    <row r="17" ht="22.5" customHeight="1">
      <c r="A17" s="5" t="s">
        <v>692</v>
      </c>
      <c r="B17" s="5" t="s">
        <v>96</v>
      </c>
      <c r="C17" s="5" t="s">
        <v>18</v>
      </c>
      <c r="D17" s="6" t="s">
        <v>693</v>
      </c>
      <c r="E17" s="5" t="s">
        <v>572</v>
      </c>
      <c r="F17" s="5" t="s">
        <v>694</v>
      </c>
      <c r="G17" s="7"/>
      <c r="H17" s="8"/>
      <c r="I17" s="8"/>
      <c r="J17" s="40">
        <v>45770.0</v>
      </c>
      <c r="K17" s="40">
        <v>45770.0</v>
      </c>
      <c r="L17" s="6">
        <v>35000.0</v>
      </c>
      <c r="M17" s="6">
        <v>9000.0</v>
      </c>
      <c r="N17" s="7"/>
      <c r="O17" s="7"/>
      <c r="P17" s="7"/>
    </row>
    <row r="18" ht="22.5" customHeight="1">
      <c r="A18" s="5" t="s">
        <v>269</v>
      </c>
      <c r="B18" s="5" t="s">
        <v>96</v>
      </c>
      <c r="C18" s="5" t="s">
        <v>106</v>
      </c>
      <c r="D18" s="6" t="s">
        <v>695</v>
      </c>
      <c r="E18" s="5" t="s">
        <v>98</v>
      </c>
      <c r="F18" s="5" t="s">
        <v>696</v>
      </c>
      <c r="G18" s="7"/>
      <c r="H18" s="8"/>
      <c r="I18" s="8"/>
      <c r="J18" s="40">
        <v>45770.0</v>
      </c>
      <c r="K18" s="40">
        <v>45770.0</v>
      </c>
      <c r="L18" s="6">
        <v>40000.0</v>
      </c>
      <c r="M18" s="6">
        <v>0.0</v>
      </c>
      <c r="N18" s="7"/>
      <c r="O18" s="7"/>
      <c r="P18" s="7"/>
    </row>
    <row r="19" ht="22.5" customHeight="1">
      <c r="A19" s="5" t="s">
        <v>490</v>
      </c>
      <c r="B19" s="5" t="s">
        <v>96</v>
      </c>
      <c r="C19" s="5" t="s">
        <v>18</v>
      </c>
      <c r="D19" s="6" t="s">
        <v>697</v>
      </c>
      <c r="E19" s="5" t="s">
        <v>698</v>
      </c>
      <c r="F19" s="5" t="s">
        <v>699</v>
      </c>
      <c r="G19" s="7"/>
      <c r="H19" s="8"/>
      <c r="I19" s="8"/>
      <c r="J19" s="40">
        <v>45772.0</v>
      </c>
      <c r="K19" s="40">
        <v>45772.0</v>
      </c>
      <c r="L19" s="6">
        <v>60000.0</v>
      </c>
      <c r="M19" s="6">
        <v>0.0</v>
      </c>
      <c r="N19" s="7"/>
      <c r="O19" s="7"/>
      <c r="P19" s="7"/>
    </row>
    <row r="20" ht="22.5" customHeight="1">
      <c r="A20" s="5" t="s">
        <v>490</v>
      </c>
      <c r="B20" s="5" t="s">
        <v>96</v>
      </c>
      <c r="C20" s="5" t="s">
        <v>18</v>
      </c>
      <c r="D20" s="6" t="s">
        <v>700</v>
      </c>
      <c r="E20" s="5" t="s">
        <v>701</v>
      </c>
      <c r="F20" s="5" t="s">
        <v>702</v>
      </c>
      <c r="G20" s="7"/>
      <c r="H20" s="8"/>
      <c r="I20" s="8"/>
      <c r="J20" s="40">
        <v>45773.0</v>
      </c>
      <c r="K20" s="40">
        <v>45773.0</v>
      </c>
      <c r="L20" s="6">
        <v>120000.0</v>
      </c>
      <c r="M20" s="6">
        <v>10000.0</v>
      </c>
      <c r="N20" s="7"/>
      <c r="O20" s="7"/>
      <c r="P20" s="7"/>
    </row>
    <row r="21" ht="22.5" customHeight="1">
      <c r="A21" s="5" t="s">
        <v>134</v>
      </c>
      <c r="B21" s="5" t="s">
        <v>96</v>
      </c>
      <c r="C21" s="5" t="s">
        <v>18</v>
      </c>
      <c r="D21" s="6" t="s">
        <v>703</v>
      </c>
      <c r="E21" s="5" t="s">
        <v>704</v>
      </c>
      <c r="F21" s="5" t="s">
        <v>705</v>
      </c>
      <c r="G21" s="7"/>
      <c r="H21" s="8"/>
      <c r="I21" s="5"/>
      <c r="J21" s="40">
        <v>45773.0</v>
      </c>
      <c r="K21" s="40">
        <v>45773.0</v>
      </c>
      <c r="L21" s="6">
        <v>100000.0</v>
      </c>
      <c r="M21" s="6">
        <v>0.0</v>
      </c>
      <c r="N21" s="7"/>
      <c r="O21" s="7"/>
      <c r="P21" s="7"/>
    </row>
    <row r="22" ht="22.5" customHeight="1">
      <c r="A22" s="5" t="s">
        <v>706</v>
      </c>
      <c r="B22" s="5" t="s">
        <v>707</v>
      </c>
      <c r="C22" s="5" t="s">
        <v>106</v>
      </c>
      <c r="D22" s="6" t="s">
        <v>708</v>
      </c>
      <c r="E22" s="5" t="s">
        <v>709</v>
      </c>
      <c r="F22" s="5" t="s">
        <v>710</v>
      </c>
      <c r="G22" s="7"/>
      <c r="H22" s="8"/>
      <c r="I22" s="5" t="s">
        <v>711</v>
      </c>
      <c r="J22" s="40">
        <v>45777.0</v>
      </c>
      <c r="K22" s="40">
        <v>45777.0</v>
      </c>
      <c r="L22" s="6">
        <v>60000.0</v>
      </c>
      <c r="M22" s="6">
        <v>0.0</v>
      </c>
      <c r="N22" s="7"/>
      <c r="O22" s="7"/>
      <c r="P22" s="7"/>
    </row>
    <row r="23" ht="22.5" customHeight="1">
      <c r="A23" s="5" t="s">
        <v>712</v>
      </c>
      <c r="B23" s="5" t="s">
        <v>713</v>
      </c>
      <c r="C23" s="5" t="s">
        <v>18</v>
      </c>
      <c r="D23" s="6" t="s">
        <v>714</v>
      </c>
      <c r="E23" s="5" t="s">
        <v>715</v>
      </c>
      <c r="F23" s="5" t="s">
        <v>716</v>
      </c>
      <c r="G23" s="7"/>
      <c r="H23" s="8"/>
      <c r="I23" s="5" t="s">
        <v>717</v>
      </c>
      <c r="J23" s="40">
        <v>45776.0</v>
      </c>
      <c r="K23" s="40">
        <v>45777.0</v>
      </c>
      <c r="L23" s="6">
        <v>90000.0</v>
      </c>
      <c r="M23" s="6">
        <v>40000.0</v>
      </c>
      <c r="N23" s="7"/>
      <c r="O23" s="7"/>
      <c r="P23" s="7"/>
    </row>
    <row r="24" ht="22.5" customHeight="1">
      <c r="A24" s="5"/>
      <c r="B24" s="5"/>
      <c r="C24" s="5"/>
      <c r="D24" s="6"/>
      <c r="E24" s="5"/>
      <c r="F24" s="5"/>
      <c r="G24" s="7"/>
      <c r="H24" s="8"/>
      <c r="I24" s="8"/>
      <c r="J24" s="40"/>
      <c r="K24" s="40"/>
      <c r="L24" s="6"/>
      <c r="M24" s="6"/>
      <c r="N24" s="7"/>
      <c r="O24" s="7"/>
      <c r="P24" s="7"/>
    </row>
    <row r="25" ht="22.5" customHeight="1">
      <c r="A25" s="5"/>
      <c r="B25" s="5"/>
      <c r="C25" s="5"/>
      <c r="D25" s="6"/>
      <c r="E25" s="5"/>
      <c r="F25" s="5"/>
      <c r="G25" s="7"/>
      <c r="H25" s="8"/>
      <c r="I25" s="8"/>
      <c r="J25" s="40"/>
      <c r="K25" s="40"/>
      <c r="L25" s="6"/>
      <c r="M25" s="6"/>
      <c r="N25" s="7"/>
      <c r="O25" s="7"/>
      <c r="P25" s="7"/>
    </row>
    <row r="26" ht="22.5" customHeight="1">
      <c r="A26" s="5"/>
      <c r="B26" s="5"/>
      <c r="C26" s="5"/>
      <c r="D26" s="6"/>
      <c r="E26" s="5"/>
      <c r="F26" s="5"/>
      <c r="G26" s="7"/>
      <c r="H26" s="8"/>
      <c r="I26" s="8"/>
      <c r="J26" s="40"/>
      <c r="K26" s="40"/>
      <c r="L26" s="6"/>
      <c r="M26" s="6"/>
      <c r="N26" s="7"/>
      <c r="O26" s="7"/>
      <c r="P26" s="7"/>
    </row>
    <row r="27" ht="22.5" customHeight="1">
      <c r="A27" s="5"/>
      <c r="B27" s="5"/>
      <c r="C27" s="5"/>
      <c r="D27" s="6"/>
      <c r="E27" s="5"/>
      <c r="F27" s="5"/>
      <c r="G27" s="7"/>
      <c r="H27" s="8"/>
      <c r="I27" s="8"/>
      <c r="J27" s="40"/>
      <c r="K27" s="40"/>
      <c r="L27" s="6"/>
      <c r="M27" s="6"/>
      <c r="N27" s="7"/>
      <c r="O27" s="7"/>
      <c r="P27" s="7"/>
    </row>
    <row r="28" ht="22.5" customHeight="1">
      <c r="A28" s="5"/>
      <c r="B28" s="5"/>
      <c r="C28" s="5"/>
      <c r="D28" s="6"/>
      <c r="E28" s="5"/>
      <c r="F28" s="5"/>
      <c r="G28" s="7"/>
      <c r="H28" s="8"/>
      <c r="I28" s="8"/>
      <c r="J28" s="40"/>
      <c r="K28" s="40"/>
      <c r="L28" s="6"/>
      <c r="M28" s="6"/>
      <c r="N28" s="7"/>
      <c r="O28" s="7"/>
      <c r="P28" s="7"/>
    </row>
    <row r="29" ht="22.5" customHeight="1">
      <c r="A29" s="5"/>
      <c r="B29" s="5"/>
      <c r="C29" s="5"/>
      <c r="D29" s="6"/>
      <c r="E29" s="5"/>
      <c r="F29" s="5"/>
      <c r="G29" s="7"/>
      <c r="H29" s="8"/>
      <c r="I29" s="8"/>
      <c r="J29" s="40"/>
      <c r="K29" s="40"/>
      <c r="L29" s="6"/>
      <c r="M29" s="6"/>
      <c r="N29" s="7"/>
      <c r="O29" s="7"/>
      <c r="P29" s="7"/>
    </row>
    <row r="30" ht="22.5" customHeight="1">
      <c r="A30" s="5"/>
      <c r="B30" s="5"/>
      <c r="C30" s="5"/>
      <c r="D30" s="6"/>
      <c r="E30" s="5"/>
      <c r="F30" s="5"/>
      <c r="G30" s="7"/>
      <c r="H30" s="8"/>
      <c r="I30" s="8"/>
      <c r="J30" s="40"/>
      <c r="K30" s="40"/>
      <c r="L30" s="6"/>
      <c r="M30" s="6"/>
      <c r="N30" s="7"/>
      <c r="O30" s="7"/>
      <c r="P30" s="7"/>
    </row>
  </sheetData>
  <dataValidations>
    <dataValidation allowBlank="1" showDropDown="1" sqref="A2:C30 H2:I30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7.63"/>
    <col customWidth="1" min="3" max="3" width="18.38"/>
    <col customWidth="1" min="4" max="4" width="22.63"/>
    <col customWidth="1" min="5" max="6" width="31.0"/>
    <col customWidth="1" min="7" max="7" width="15.25"/>
    <col customWidth="1" min="8" max="8" width="12.25"/>
    <col customWidth="1" min="9" max="9" width="22.63"/>
    <col customWidth="1" min="10" max="10" width="20.13"/>
    <col customWidth="1" min="11" max="11" width="17.5"/>
    <col customWidth="1" min="12" max="12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</row>
    <row r="2" ht="22.5" customHeight="1">
      <c r="A2" s="5" t="s">
        <v>718</v>
      </c>
      <c r="B2" s="5" t="s">
        <v>96</v>
      </c>
      <c r="C2" s="5" t="s">
        <v>106</v>
      </c>
      <c r="D2" s="6" t="s">
        <v>719</v>
      </c>
      <c r="E2" s="5" t="s">
        <v>720</v>
      </c>
      <c r="F2" s="5" t="s">
        <v>721</v>
      </c>
      <c r="G2" s="7"/>
      <c r="H2" s="8"/>
      <c r="I2" s="5"/>
      <c r="J2" s="9">
        <v>45721.0</v>
      </c>
      <c r="K2" s="10">
        <v>45727.0</v>
      </c>
      <c r="L2" s="11">
        <v>150000.0</v>
      </c>
      <c r="M2" s="11">
        <v>0.0</v>
      </c>
      <c r="N2" s="12">
        <f t="shared" ref="N2:O2" si="1">SUM(L2:L33)</f>
        <v>2140000</v>
      </c>
      <c r="O2" s="12">
        <f t="shared" si="1"/>
        <v>149000</v>
      </c>
      <c r="P2" s="12">
        <f>SUM(N2-O2)</f>
        <v>1991000</v>
      </c>
    </row>
    <row r="3" ht="22.5" customHeight="1">
      <c r="A3" s="6" t="s">
        <v>722</v>
      </c>
      <c r="B3" s="5" t="s">
        <v>723</v>
      </c>
      <c r="C3" s="6" t="s">
        <v>18</v>
      </c>
      <c r="D3" s="6" t="s">
        <v>724</v>
      </c>
      <c r="E3" s="5" t="s">
        <v>98</v>
      </c>
      <c r="F3" s="5" t="s">
        <v>725</v>
      </c>
      <c r="G3" s="7"/>
      <c r="H3" s="8"/>
      <c r="I3" s="5"/>
      <c r="J3" s="9">
        <v>45724.0</v>
      </c>
      <c r="K3" s="10">
        <v>45728.0</v>
      </c>
      <c r="L3" s="11">
        <v>150000.0</v>
      </c>
      <c r="M3" s="11">
        <v>40000.0</v>
      </c>
      <c r="N3" s="7"/>
      <c r="O3" s="7"/>
      <c r="P3" s="13"/>
    </row>
    <row r="4" ht="22.5" customHeight="1">
      <c r="A4" s="6" t="s">
        <v>726</v>
      </c>
      <c r="B4" s="5" t="s">
        <v>96</v>
      </c>
      <c r="C4" s="6" t="s">
        <v>647</v>
      </c>
      <c r="D4" s="6" t="s">
        <v>727</v>
      </c>
      <c r="E4" s="5" t="s">
        <v>728</v>
      </c>
      <c r="F4" s="5" t="s">
        <v>729</v>
      </c>
      <c r="G4" s="7"/>
      <c r="H4" s="8"/>
      <c r="I4" s="5"/>
      <c r="J4" s="9">
        <v>45726.0</v>
      </c>
      <c r="K4" s="10">
        <v>45726.0</v>
      </c>
      <c r="L4" s="11">
        <v>25000.0</v>
      </c>
      <c r="M4" s="11">
        <v>0.0</v>
      </c>
      <c r="N4" s="7"/>
      <c r="O4" s="7"/>
      <c r="P4" s="13"/>
    </row>
    <row r="5" ht="22.5" customHeight="1">
      <c r="A5" s="5" t="s">
        <v>718</v>
      </c>
      <c r="B5" s="5" t="s">
        <v>96</v>
      </c>
      <c r="C5" s="6" t="s">
        <v>730</v>
      </c>
      <c r="D5" s="6" t="s">
        <v>731</v>
      </c>
      <c r="E5" s="5" t="s">
        <v>732</v>
      </c>
      <c r="F5" s="5" t="s">
        <v>733</v>
      </c>
      <c r="G5" s="7"/>
      <c r="H5" s="8"/>
      <c r="I5" s="5"/>
      <c r="J5" s="10">
        <v>45722.0</v>
      </c>
      <c r="K5" s="9">
        <v>45728.0</v>
      </c>
      <c r="L5" s="11">
        <v>50000.0</v>
      </c>
      <c r="M5" s="11">
        <v>0.0</v>
      </c>
      <c r="N5" s="7"/>
      <c r="O5" s="7"/>
      <c r="P5" s="13"/>
    </row>
    <row r="6" ht="22.5" customHeight="1">
      <c r="A6" s="5" t="s">
        <v>734</v>
      </c>
      <c r="B6" s="5" t="s">
        <v>96</v>
      </c>
      <c r="C6" s="6" t="s">
        <v>18</v>
      </c>
      <c r="D6" s="6" t="s">
        <v>735</v>
      </c>
      <c r="E6" s="5" t="s">
        <v>736</v>
      </c>
      <c r="F6" s="5" t="s">
        <v>737</v>
      </c>
      <c r="G6" s="7"/>
      <c r="H6" s="8"/>
      <c r="I6" s="5"/>
      <c r="J6" s="9">
        <v>45729.0</v>
      </c>
      <c r="K6" s="9">
        <v>45729.0</v>
      </c>
      <c r="L6" s="11">
        <v>15000.0</v>
      </c>
      <c r="M6" s="6">
        <v>0.0</v>
      </c>
      <c r="N6" s="7"/>
      <c r="O6" s="7"/>
      <c r="P6" s="13"/>
    </row>
    <row r="7" ht="22.5" customHeight="1">
      <c r="A7" s="5" t="s">
        <v>738</v>
      </c>
      <c r="B7" s="5" t="s">
        <v>540</v>
      </c>
      <c r="C7" s="5" t="s">
        <v>106</v>
      </c>
      <c r="D7" s="6" t="s">
        <v>739</v>
      </c>
      <c r="E7" s="5" t="s">
        <v>740</v>
      </c>
      <c r="F7" s="5" t="s">
        <v>741</v>
      </c>
      <c r="G7" s="7"/>
      <c r="H7" s="8"/>
      <c r="I7" s="5"/>
      <c r="J7" s="9">
        <v>45729.0</v>
      </c>
      <c r="K7" s="9">
        <v>45729.0</v>
      </c>
      <c r="L7" s="11">
        <v>75000.0</v>
      </c>
      <c r="M7" s="6">
        <v>0.0</v>
      </c>
      <c r="N7" s="7"/>
      <c r="O7" s="7"/>
      <c r="P7" s="13"/>
    </row>
    <row r="8" ht="22.5" customHeight="1">
      <c r="A8" s="5" t="s">
        <v>726</v>
      </c>
      <c r="B8" s="5" t="s">
        <v>96</v>
      </c>
      <c r="C8" s="5" t="s">
        <v>647</v>
      </c>
      <c r="D8" s="6" t="s">
        <v>742</v>
      </c>
      <c r="E8" s="5" t="s">
        <v>165</v>
      </c>
      <c r="F8" s="5" t="s">
        <v>743</v>
      </c>
      <c r="G8" s="7"/>
      <c r="H8" s="8"/>
      <c r="I8" s="5"/>
      <c r="J8" s="9">
        <v>45729.0</v>
      </c>
      <c r="K8" s="9">
        <v>45729.0</v>
      </c>
      <c r="L8" s="11">
        <v>20000.0</v>
      </c>
      <c r="M8" s="6">
        <v>0.0</v>
      </c>
      <c r="N8" s="7"/>
      <c r="O8" s="7"/>
      <c r="P8" s="13"/>
    </row>
    <row r="9" ht="22.5" customHeight="1">
      <c r="A9" s="5" t="s">
        <v>744</v>
      </c>
      <c r="B9" s="5" t="s">
        <v>540</v>
      </c>
      <c r="C9" s="5" t="s">
        <v>745</v>
      </c>
      <c r="D9" s="6" t="s">
        <v>746</v>
      </c>
      <c r="E9" s="5" t="s">
        <v>747</v>
      </c>
      <c r="F9" s="5" t="s">
        <v>748</v>
      </c>
      <c r="G9" s="7"/>
      <c r="H9" s="8"/>
      <c r="I9" s="5" t="s">
        <v>749</v>
      </c>
      <c r="J9" s="14">
        <v>45729.0</v>
      </c>
      <c r="K9" s="14">
        <v>45729.0</v>
      </c>
      <c r="L9" s="6">
        <v>20000.0</v>
      </c>
      <c r="M9" s="6">
        <v>0.0</v>
      </c>
      <c r="N9" s="7"/>
      <c r="O9" s="7"/>
      <c r="P9" s="7"/>
    </row>
    <row r="10" ht="22.5" customHeight="1">
      <c r="A10" s="5" t="s">
        <v>750</v>
      </c>
      <c r="B10" s="5" t="s">
        <v>96</v>
      </c>
      <c r="C10" s="5" t="s">
        <v>106</v>
      </c>
      <c r="D10" s="6" t="s">
        <v>751</v>
      </c>
      <c r="E10" s="5" t="s">
        <v>752</v>
      </c>
      <c r="F10" s="5" t="s">
        <v>753</v>
      </c>
      <c r="G10" s="7"/>
      <c r="H10" s="8"/>
      <c r="I10" s="5" t="s">
        <v>754</v>
      </c>
      <c r="J10" s="9">
        <v>45730.0</v>
      </c>
      <c r="K10" s="9">
        <v>45730.0</v>
      </c>
      <c r="L10" s="6">
        <v>50000.0</v>
      </c>
      <c r="M10" s="6">
        <v>0.0</v>
      </c>
      <c r="N10" s="7"/>
      <c r="O10" s="7"/>
      <c r="P10" s="7"/>
    </row>
    <row r="11" ht="22.5" customHeight="1">
      <c r="A11" s="5" t="s">
        <v>755</v>
      </c>
      <c r="B11" s="5" t="s">
        <v>756</v>
      </c>
      <c r="C11" s="5" t="s">
        <v>757</v>
      </c>
      <c r="D11" s="6" t="s">
        <v>758</v>
      </c>
      <c r="E11" s="5" t="s">
        <v>759</v>
      </c>
      <c r="F11" s="5" t="s">
        <v>760</v>
      </c>
      <c r="G11" s="7"/>
      <c r="H11" s="8"/>
      <c r="I11" s="5"/>
      <c r="J11" s="9">
        <v>45733.0</v>
      </c>
      <c r="K11" s="9">
        <v>45734.0</v>
      </c>
      <c r="L11" s="15">
        <v>120000.0</v>
      </c>
      <c r="M11" s="6">
        <v>0.0</v>
      </c>
      <c r="N11" s="7"/>
      <c r="O11" s="7"/>
      <c r="P11" s="7"/>
    </row>
    <row r="12" ht="22.5" customHeight="1">
      <c r="A12" s="5" t="s">
        <v>570</v>
      </c>
      <c r="B12" s="5" t="s">
        <v>761</v>
      </c>
      <c r="C12" s="5" t="s">
        <v>525</v>
      </c>
      <c r="D12" s="6" t="s">
        <v>762</v>
      </c>
      <c r="E12" s="5" t="s">
        <v>763</v>
      </c>
      <c r="F12" s="5" t="s">
        <v>764</v>
      </c>
      <c r="G12" s="7"/>
      <c r="H12" s="8"/>
      <c r="I12" s="5" t="s">
        <v>765</v>
      </c>
      <c r="J12" s="9">
        <v>45734.0</v>
      </c>
      <c r="K12" s="9">
        <v>45734.0</v>
      </c>
      <c r="L12" s="6">
        <v>25000.0</v>
      </c>
      <c r="M12" s="6">
        <v>0.0</v>
      </c>
      <c r="N12" s="7"/>
      <c r="O12" s="7"/>
      <c r="P12" s="7"/>
    </row>
    <row r="13" ht="22.5" customHeight="1">
      <c r="A13" s="5" t="s">
        <v>750</v>
      </c>
      <c r="B13" s="5" t="s">
        <v>96</v>
      </c>
      <c r="C13" s="5" t="s">
        <v>106</v>
      </c>
      <c r="D13" s="6" t="s">
        <v>766</v>
      </c>
      <c r="E13" s="5" t="s">
        <v>767</v>
      </c>
      <c r="F13" s="5" t="s">
        <v>768</v>
      </c>
      <c r="G13" s="7"/>
      <c r="H13" s="8"/>
      <c r="I13" s="8"/>
      <c r="J13" s="40">
        <v>45735.0</v>
      </c>
      <c r="K13" s="40">
        <v>45735.0</v>
      </c>
      <c r="L13" s="6">
        <v>20000.0</v>
      </c>
      <c r="M13" s="6">
        <v>0.0</v>
      </c>
      <c r="N13" s="7"/>
      <c r="O13" s="7"/>
      <c r="P13" s="7"/>
    </row>
    <row r="14" ht="22.5" customHeight="1">
      <c r="A14" s="5" t="s">
        <v>769</v>
      </c>
      <c r="B14" s="5" t="s">
        <v>540</v>
      </c>
      <c r="C14" s="5" t="s">
        <v>18</v>
      </c>
      <c r="D14" s="6" t="s">
        <v>483</v>
      </c>
      <c r="E14" s="5" t="s">
        <v>770</v>
      </c>
      <c r="F14" s="5" t="s">
        <v>771</v>
      </c>
      <c r="G14" s="7"/>
      <c r="H14" s="8"/>
      <c r="I14" s="8"/>
      <c r="J14" s="16">
        <v>45735.0</v>
      </c>
      <c r="K14" s="16">
        <v>45735.0</v>
      </c>
      <c r="L14" s="6">
        <v>30000.0</v>
      </c>
      <c r="M14" s="6">
        <v>0.0</v>
      </c>
      <c r="N14" s="7"/>
      <c r="O14" s="7"/>
      <c r="P14" s="7"/>
    </row>
    <row r="15" ht="22.5" customHeight="1">
      <c r="A15" s="5" t="s">
        <v>772</v>
      </c>
      <c r="B15" s="5" t="s">
        <v>96</v>
      </c>
      <c r="C15" s="5" t="s">
        <v>106</v>
      </c>
      <c r="D15" s="6" t="s">
        <v>773</v>
      </c>
      <c r="E15" s="5" t="s">
        <v>774</v>
      </c>
      <c r="F15" s="5" t="s">
        <v>775</v>
      </c>
      <c r="G15" s="7"/>
      <c r="H15" s="8"/>
      <c r="I15" s="5" t="s">
        <v>776</v>
      </c>
      <c r="J15" s="40">
        <v>45735.0</v>
      </c>
      <c r="K15" s="40">
        <v>45735.0</v>
      </c>
      <c r="L15" s="6">
        <v>25000.0</v>
      </c>
      <c r="M15" s="6">
        <v>0.0</v>
      </c>
      <c r="N15" s="7"/>
      <c r="O15" s="7"/>
      <c r="P15" s="7"/>
    </row>
    <row r="16" ht="22.5" customHeight="1">
      <c r="A16" s="5" t="s">
        <v>777</v>
      </c>
      <c r="B16" s="5" t="s">
        <v>540</v>
      </c>
      <c r="C16" s="5" t="s">
        <v>106</v>
      </c>
      <c r="D16" s="6" t="s">
        <v>778</v>
      </c>
      <c r="E16" s="5" t="s">
        <v>779</v>
      </c>
      <c r="F16" s="5" t="s">
        <v>780</v>
      </c>
      <c r="G16" s="7"/>
      <c r="H16" s="8"/>
      <c r="I16" s="8"/>
      <c r="J16" s="40">
        <v>45726.0</v>
      </c>
      <c r="K16" s="40">
        <v>45733.0</v>
      </c>
      <c r="L16" s="6">
        <v>180000.0</v>
      </c>
      <c r="M16" s="6">
        <v>0.0</v>
      </c>
      <c r="N16" s="7"/>
      <c r="O16" s="7"/>
      <c r="P16" s="7"/>
    </row>
    <row r="17" ht="22.5" customHeight="1">
      <c r="A17" s="5" t="s">
        <v>726</v>
      </c>
      <c r="B17" s="5" t="s">
        <v>96</v>
      </c>
      <c r="C17" s="5" t="s">
        <v>68</v>
      </c>
      <c r="D17" s="6" t="s">
        <v>727</v>
      </c>
      <c r="E17" s="5" t="s">
        <v>781</v>
      </c>
      <c r="F17" s="5" t="s">
        <v>782</v>
      </c>
      <c r="G17" s="7"/>
      <c r="H17" s="8"/>
      <c r="I17" s="8"/>
      <c r="J17" s="40">
        <v>45737.0</v>
      </c>
      <c r="K17" s="40">
        <v>45737.0</v>
      </c>
      <c r="L17" s="6">
        <v>50000.0</v>
      </c>
      <c r="M17" s="6">
        <v>10000.0</v>
      </c>
      <c r="N17" s="7"/>
      <c r="O17" s="7"/>
      <c r="P17" s="7"/>
    </row>
    <row r="18" ht="22.5" customHeight="1">
      <c r="A18" s="5" t="s">
        <v>718</v>
      </c>
      <c r="B18" s="5" t="s">
        <v>96</v>
      </c>
      <c r="C18" s="5" t="s">
        <v>68</v>
      </c>
      <c r="D18" s="6" t="s">
        <v>783</v>
      </c>
      <c r="E18" s="5" t="s">
        <v>784</v>
      </c>
      <c r="F18" s="5" t="s">
        <v>785</v>
      </c>
      <c r="G18" s="7"/>
      <c r="H18" s="8"/>
      <c r="I18" s="8"/>
      <c r="J18" s="40">
        <v>45737.0</v>
      </c>
      <c r="K18" s="40">
        <v>45737.0</v>
      </c>
      <c r="L18" s="6">
        <v>90000.0</v>
      </c>
      <c r="M18" s="6">
        <v>0.0</v>
      </c>
      <c r="N18" s="7"/>
      <c r="O18" s="7"/>
      <c r="P18" s="7"/>
    </row>
    <row r="19" ht="22.5" customHeight="1">
      <c r="A19" s="5" t="s">
        <v>786</v>
      </c>
      <c r="B19" s="5" t="s">
        <v>540</v>
      </c>
      <c r="C19" s="5" t="s">
        <v>106</v>
      </c>
      <c r="D19" s="6" t="s">
        <v>787</v>
      </c>
      <c r="E19" s="5" t="s">
        <v>788</v>
      </c>
      <c r="F19" s="5" t="s">
        <v>789</v>
      </c>
      <c r="G19" s="7"/>
      <c r="H19" s="8"/>
      <c r="I19" s="8"/>
      <c r="J19" s="40">
        <v>45737.0</v>
      </c>
      <c r="K19" s="40">
        <v>45737.0</v>
      </c>
      <c r="L19" s="6">
        <v>70000.0</v>
      </c>
      <c r="M19" s="6">
        <v>10000.0</v>
      </c>
      <c r="N19" s="7"/>
      <c r="O19" s="7"/>
      <c r="P19" s="7"/>
    </row>
    <row r="20" ht="22.5" customHeight="1">
      <c r="A20" s="5" t="s">
        <v>718</v>
      </c>
      <c r="B20" s="5" t="s">
        <v>96</v>
      </c>
      <c r="C20" s="5" t="s">
        <v>647</v>
      </c>
      <c r="D20" s="6" t="s">
        <v>667</v>
      </c>
      <c r="E20" s="5" t="s">
        <v>790</v>
      </c>
      <c r="F20" s="5" t="s">
        <v>791</v>
      </c>
      <c r="G20" s="7"/>
      <c r="H20" s="8"/>
      <c r="I20" s="8"/>
      <c r="J20" s="40">
        <v>45734.0</v>
      </c>
      <c r="K20" s="40">
        <v>45741.0</v>
      </c>
      <c r="L20" s="6">
        <v>25000.0</v>
      </c>
      <c r="M20" s="6">
        <v>0.0</v>
      </c>
      <c r="N20" s="7"/>
      <c r="O20" s="7"/>
      <c r="P20" s="7"/>
    </row>
    <row r="21" ht="22.5" customHeight="1">
      <c r="A21" s="5" t="s">
        <v>792</v>
      </c>
      <c r="B21" s="5" t="s">
        <v>540</v>
      </c>
      <c r="C21" s="5" t="s">
        <v>106</v>
      </c>
      <c r="D21" s="6" t="s">
        <v>762</v>
      </c>
      <c r="E21" s="5" t="s">
        <v>793</v>
      </c>
      <c r="F21" s="5" t="s">
        <v>794</v>
      </c>
      <c r="G21" s="7"/>
      <c r="H21" s="8"/>
      <c r="I21" s="5" t="s">
        <v>795</v>
      </c>
      <c r="J21" s="40">
        <v>45742.0</v>
      </c>
      <c r="K21" s="40">
        <v>45742.0</v>
      </c>
      <c r="L21" s="6">
        <v>30000.0</v>
      </c>
      <c r="M21" s="6">
        <v>0.0</v>
      </c>
      <c r="N21" s="7"/>
      <c r="O21" s="7"/>
      <c r="P21" s="7"/>
    </row>
    <row r="22" ht="22.5" customHeight="1">
      <c r="A22" s="5" t="s">
        <v>796</v>
      </c>
      <c r="B22" s="5" t="s">
        <v>540</v>
      </c>
      <c r="C22" s="5" t="s">
        <v>106</v>
      </c>
      <c r="D22" s="6" t="s">
        <v>797</v>
      </c>
      <c r="E22" s="5" t="s">
        <v>98</v>
      </c>
      <c r="F22" s="5" t="s">
        <v>255</v>
      </c>
      <c r="G22" s="7"/>
      <c r="H22" s="8"/>
      <c r="I22" s="5" t="s">
        <v>798</v>
      </c>
      <c r="J22" s="40">
        <v>45742.0</v>
      </c>
      <c r="K22" s="40">
        <v>45742.0</v>
      </c>
      <c r="L22" s="6">
        <v>70000.0</v>
      </c>
      <c r="M22" s="6">
        <v>0.0</v>
      </c>
      <c r="N22" s="7"/>
      <c r="O22" s="7"/>
      <c r="P22" s="7"/>
    </row>
    <row r="23" ht="22.5" customHeight="1">
      <c r="A23" s="5" t="s">
        <v>467</v>
      </c>
      <c r="B23" s="5" t="s">
        <v>540</v>
      </c>
      <c r="C23" s="5" t="s">
        <v>106</v>
      </c>
      <c r="D23" s="6" t="s">
        <v>363</v>
      </c>
      <c r="E23" s="5" t="s">
        <v>799</v>
      </c>
      <c r="F23" s="5" t="s">
        <v>800</v>
      </c>
      <c r="G23" s="7"/>
      <c r="H23" s="8"/>
      <c r="I23" s="8"/>
      <c r="J23" s="40">
        <v>45741.0</v>
      </c>
      <c r="K23" s="40">
        <v>45743.0</v>
      </c>
      <c r="L23" s="6">
        <v>150000.0</v>
      </c>
      <c r="M23" s="6">
        <v>35000.0</v>
      </c>
      <c r="N23" s="7"/>
      <c r="O23" s="7"/>
      <c r="P23" s="7"/>
    </row>
    <row r="24" ht="22.5" customHeight="1">
      <c r="A24" s="5" t="s">
        <v>801</v>
      </c>
      <c r="B24" s="5" t="s">
        <v>540</v>
      </c>
      <c r="C24" s="5" t="s">
        <v>802</v>
      </c>
      <c r="D24" s="6" t="s">
        <v>803</v>
      </c>
      <c r="E24" s="5" t="s">
        <v>804</v>
      </c>
      <c r="F24" s="5" t="s">
        <v>805</v>
      </c>
      <c r="G24" s="7"/>
      <c r="H24" s="8"/>
      <c r="I24" s="8"/>
      <c r="J24" s="40">
        <v>45743.0</v>
      </c>
      <c r="K24" s="40">
        <v>45744.0</v>
      </c>
      <c r="L24" s="6">
        <v>150000.0</v>
      </c>
      <c r="M24" s="6">
        <v>4000.0</v>
      </c>
      <c r="N24" s="7"/>
      <c r="O24" s="7"/>
      <c r="P24" s="7"/>
    </row>
    <row r="25" ht="22.5" customHeight="1">
      <c r="A25" s="5" t="s">
        <v>792</v>
      </c>
      <c r="B25" s="5" t="s">
        <v>540</v>
      </c>
      <c r="C25" s="5" t="s">
        <v>106</v>
      </c>
      <c r="D25" s="6" t="s">
        <v>762</v>
      </c>
      <c r="E25" s="5" t="s">
        <v>794</v>
      </c>
      <c r="F25" s="5" t="s">
        <v>806</v>
      </c>
      <c r="G25" s="7"/>
      <c r="H25" s="8"/>
      <c r="I25" s="8"/>
      <c r="J25" s="40">
        <v>45744.0</v>
      </c>
      <c r="K25" s="40">
        <v>45744.0</v>
      </c>
      <c r="L25" s="6">
        <v>30000.0</v>
      </c>
      <c r="M25" s="6">
        <v>0.0</v>
      </c>
      <c r="N25" s="7"/>
      <c r="O25" s="7"/>
      <c r="P25" s="7"/>
    </row>
    <row r="26" ht="22.5" customHeight="1">
      <c r="A26" s="5" t="s">
        <v>807</v>
      </c>
      <c r="B26" s="5" t="s">
        <v>761</v>
      </c>
      <c r="C26" s="5" t="s">
        <v>18</v>
      </c>
      <c r="D26" s="6" t="s">
        <v>808</v>
      </c>
      <c r="E26" s="5"/>
      <c r="F26" s="5" t="s">
        <v>809</v>
      </c>
      <c r="G26" s="7"/>
      <c r="H26" s="8"/>
      <c r="I26" s="8"/>
      <c r="J26" s="40">
        <v>45744.0</v>
      </c>
      <c r="K26" s="40">
        <v>45744.0</v>
      </c>
      <c r="L26" s="6">
        <v>60000.0</v>
      </c>
      <c r="M26" s="6">
        <v>20000.0</v>
      </c>
      <c r="N26" s="7"/>
      <c r="O26" s="7"/>
      <c r="P26" s="7"/>
    </row>
    <row r="27" ht="22.5" customHeight="1">
      <c r="A27" s="5" t="s">
        <v>792</v>
      </c>
      <c r="B27" s="5" t="s">
        <v>540</v>
      </c>
      <c r="C27" s="5" t="s">
        <v>18</v>
      </c>
      <c r="D27" s="6" t="s">
        <v>762</v>
      </c>
      <c r="E27" s="5" t="s">
        <v>63</v>
      </c>
      <c r="F27" s="5" t="s">
        <v>810</v>
      </c>
      <c r="G27" s="7"/>
      <c r="H27" s="8"/>
      <c r="I27" s="8"/>
      <c r="J27" s="40">
        <v>45744.0</v>
      </c>
      <c r="K27" s="40">
        <v>45744.0</v>
      </c>
      <c r="L27" s="6">
        <v>120000.0</v>
      </c>
      <c r="M27" s="6">
        <v>30000.0</v>
      </c>
      <c r="N27" s="7"/>
      <c r="O27" s="7"/>
      <c r="P27" s="7"/>
    </row>
    <row r="28" ht="22.5" customHeight="1">
      <c r="A28" s="5" t="s">
        <v>811</v>
      </c>
      <c r="B28" s="5" t="s">
        <v>96</v>
      </c>
      <c r="C28" s="5" t="s">
        <v>106</v>
      </c>
      <c r="D28" s="6" t="s">
        <v>812</v>
      </c>
      <c r="E28" s="5" t="s">
        <v>98</v>
      </c>
      <c r="F28" s="5" t="s">
        <v>813</v>
      </c>
      <c r="G28" s="7"/>
      <c r="H28" s="8"/>
      <c r="I28" s="8"/>
      <c r="J28" s="40">
        <v>45742.0</v>
      </c>
      <c r="K28" s="40">
        <v>45747.0</v>
      </c>
      <c r="L28" s="6">
        <v>250000.0</v>
      </c>
      <c r="M28" s="6">
        <v>0.0</v>
      </c>
      <c r="N28" s="7"/>
      <c r="O28" s="7"/>
      <c r="P28" s="7"/>
    </row>
    <row r="29" ht="22.5" customHeight="1">
      <c r="A29" s="5" t="s">
        <v>801</v>
      </c>
      <c r="B29" s="5" t="s">
        <v>540</v>
      </c>
      <c r="C29" s="5" t="s">
        <v>68</v>
      </c>
      <c r="D29" s="6" t="s">
        <v>803</v>
      </c>
      <c r="E29" s="5" t="s">
        <v>814</v>
      </c>
      <c r="F29" s="5" t="s">
        <v>815</v>
      </c>
      <c r="G29" s="7"/>
      <c r="H29" s="8"/>
      <c r="I29" s="8"/>
      <c r="J29" s="40">
        <v>45747.0</v>
      </c>
      <c r="K29" s="40">
        <v>45747.0</v>
      </c>
      <c r="L29" s="6">
        <v>90000.0</v>
      </c>
      <c r="M29" s="6">
        <v>0.0</v>
      </c>
      <c r="N29" s="7"/>
      <c r="O29" s="7"/>
      <c r="P29" s="7"/>
    </row>
    <row r="30" ht="22.5" customHeight="1">
      <c r="A30" s="5"/>
      <c r="B30" s="5"/>
      <c r="C30" s="5"/>
      <c r="D30" s="6"/>
      <c r="E30" s="5"/>
      <c r="F30" s="5"/>
      <c r="G30" s="7"/>
      <c r="H30" s="8"/>
      <c r="I30" s="8"/>
      <c r="J30" s="40"/>
      <c r="K30" s="40"/>
      <c r="L30" s="6"/>
      <c r="M30" s="6"/>
      <c r="N30" s="7"/>
      <c r="O30" s="7"/>
      <c r="P30" s="7"/>
    </row>
  </sheetData>
  <dataValidations>
    <dataValidation allowBlank="1" showDropDown="1" sqref="A2:C30 H2:I30"/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7.63"/>
    <col customWidth="1" min="3" max="3" width="18.38"/>
    <col customWidth="1" min="4" max="5" width="31.0"/>
    <col customWidth="1" min="6" max="6" width="22.63"/>
    <col customWidth="1" min="7" max="7" width="15.25"/>
    <col customWidth="1" min="8" max="8" width="12.25"/>
    <col customWidth="1" min="9" max="9" width="22.63"/>
    <col customWidth="1" min="10" max="10" width="20.13"/>
    <col customWidth="1" min="11" max="11" width="17.5"/>
    <col customWidth="1" min="12" max="12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</row>
    <row r="2" ht="22.5" customHeight="1">
      <c r="A2" s="5" t="s">
        <v>816</v>
      </c>
      <c r="B2" s="5" t="s">
        <v>761</v>
      </c>
      <c r="C2" s="5" t="s">
        <v>179</v>
      </c>
      <c r="D2" s="5"/>
      <c r="E2" s="5" t="s">
        <v>817</v>
      </c>
      <c r="F2" s="6" t="s">
        <v>818</v>
      </c>
      <c r="G2" s="7"/>
      <c r="H2" s="8"/>
      <c r="I2" s="5"/>
      <c r="J2" s="9">
        <v>45709.0</v>
      </c>
      <c r="K2" s="10"/>
      <c r="L2" s="11">
        <v>100000.0</v>
      </c>
      <c r="M2" s="11">
        <v>30000.0</v>
      </c>
      <c r="N2" s="12">
        <f t="shared" ref="N2:O2" si="1">SUM(L2:L20)</f>
        <v>755000</v>
      </c>
      <c r="O2" s="12">
        <f t="shared" si="1"/>
        <v>95000</v>
      </c>
      <c r="P2" s="12">
        <f>SUM(N2-O2)</f>
        <v>660000</v>
      </c>
    </row>
    <row r="3" ht="22.5" customHeight="1">
      <c r="A3" s="6" t="s">
        <v>819</v>
      </c>
      <c r="B3" s="5" t="s">
        <v>820</v>
      </c>
      <c r="C3" s="6" t="s">
        <v>821</v>
      </c>
      <c r="D3" s="5" t="s">
        <v>433</v>
      </c>
      <c r="E3" s="5" t="s">
        <v>822</v>
      </c>
      <c r="F3" s="6" t="s">
        <v>823</v>
      </c>
      <c r="G3" s="7"/>
      <c r="H3" s="8"/>
      <c r="I3" s="5"/>
      <c r="J3" s="9">
        <v>45709.0</v>
      </c>
      <c r="K3" s="10"/>
      <c r="L3" s="11">
        <v>45000.0</v>
      </c>
      <c r="M3" s="11">
        <v>4200.0</v>
      </c>
      <c r="N3" s="13"/>
      <c r="O3" s="13"/>
      <c r="P3" s="13"/>
    </row>
    <row r="4" ht="22.5" customHeight="1">
      <c r="A4" s="6" t="s">
        <v>824</v>
      </c>
      <c r="B4" s="5" t="s">
        <v>825</v>
      </c>
      <c r="C4" s="6" t="s">
        <v>679</v>
      </c>
      <c r="D4" s="5" t="s">
        <v>323</v>
      </c>
      <c r="E4" s="5" t="s">
        <v>826</v>
      </c>
      <c r="F4" s="6" t="s">
        <v>827</v>
      </c>
      <c r="G4" s="7"/>
      <c r="H4" s="8"/>
      <c r="I4" s="5"/>
      <c r="J4" s="9">
        <v>45711.0</v>
      </c>
      <c r="K4" s="10"/>
      <c r="L4" s="11">
        <v>200000.0</v>
      </c>
      <c r="M4" s="11">
        <v>30000.0</v>
      </c>
      <c r="N4" s="13"/>
      <c r="O4" s="13"/>
      <c r="P4" s="13"/>
    </row>
    <row r="5" ht="22.5" customHeight="1">
      <c r="A5" s="5" t="s">
        <v>769</v>
      </c>
      <c r="B5" s="5" t="s">
        <v>828</v>
      </c>
      <c r="C5" s="6" t="s">
        <v>18</v>
      </c>
      <c r="D5" s="5" t="s">
        <v>829</v>
      </c>
      <c r="E5" s="5" t="s">
        <v>830</v>
      </c>
      <c r="F5" s="6" t="s">
        <v>831</v>
      </c>
      <c r="G5" s="7"/>
      <c r="H5" s="8"/>
      <c r="I5" s="5"/>
      <c r="J5" s="10">
        <v>45700.0</v>
      </c>
      <c r="K5" s="9"/>
      <c r="L5" s="11">
        <v>120000.0</v>
      </c>
      <c r="M5" s="11">
        <v>20000.0</v>
      </c>
      <c r="N5" s="13"/>
      <c r="O5" s="13"/>
      <c r="P5" s="13"/>
    </row>
    <row r="6" ht="22.5" customHeight="1">
      <c r="A6" s="5" t="s">
        <v>832</v>
      </c>
      <c r="B6" s="5" t="s">
        <v>540</v>
      </c>
      <c r="C6" s="6" t="s">
        <v>679</v>
      </c>
      <c r="D6" s="5" t="s">
        <v>833</v>
      </c>
      <c r="E6" s="5" t="s">
        <v>834</v>
      </c>
      <c r="F6" s="6" t="s">
        <v>835</v>
      </c>
      <c r="G6" s="7"/>
      <c r="H6" s="8"/>
      <c r="I6" s="5"/>
      <c r="J6" s="9">
        <v>45696.0</v>
      </c>
      <c r="K6" s="9"/>
      <c r="L6" s="11">
        <v>60000.0</v>
      </c>
      <c r="M6" s="6">
        <v>0.0</v>
      </c>
      <c r="N6" s="13"/>
      <c r="O6" s="13"/>
      <c r="P6" s="13"/>
    </row>
    <row r="7" ht="22.5" customHeight="1">
      <c r="A7" s="5" t="s">
        <v>836</v>
      </c>
      <c r="B7" s="5" t="s">
        <v>837</v>
      </c>
      <c r="C7" s="5" t="s">
        <v>838</v>
      </c>
      <c r="D7" s="5" t="s">
        <v>839</v>
      </c>
      <c r="E7" s="5" t="s">
        <v>840</v>
      </c>
      <c r="F7" s="6" t="s">
        <v>841</v>
      </c>
      <c r="G7" s="7"/>
      <c r="H7" s="8"/>
      <c r="I7" s="5"/>
      <c r="J7" s="9">
        <v>45703.0</v>
      </c>
      <c r="K7" s="9"/>
      <c r="L7" s="11">
        <v>90000.0</v>
      </c>
      <c r="M7" s="6">
        <v>0.0</v>
      </c>
      <c r="N7" s="13"/>
      <c r="O7" s="13"/>
      <c r="P7" s="13"/>
    </row>
    <row r="8" ht="22.5" customHeight="1">
      <c r="A8" s="5" t="s">
        <v>842</v>
      </c>
      <c r="B8" s="5" t="s">
        <v>828</v>
      </c>
      <c r="C8" s="5" t="s">
        <v>18</v>
      </c>
      <c r="D8" s="5" t="s">
        <v>160</v>
      </c>
      <c r="E8" s="5" t="s">
        <v>843</v>
      </c>
      <c r="F8" s="6" t="s">
        <v>818</v>
      </c>
      <c r="G8" s="7"/>
      <c r="H8" s="8"/>
      <c r="I8" s="8"/>
      <c r="J8" s="40">
        <v>45714.0</v>
      </c>
      <c r="K8" s="40">
        <v>45714.0</v>
      </c>
      <c r="L8" s="6">
        <v>30000.0</v>
      </c>
      <c r="M8" s="6">
        <v>10000.0</v>
      </c>
      <c r="N8" s="13"/>
      <c r="O8" s="13"/>
      <c r="P8" s="13"/>
    </row>
    <row r="9" ht="22.5" customHeight="1">
      <c r="A9" s="5" t="s">
        <v>844</v>
      </c>
      <c r="B9" s="5" t="s">
        <v>761</v>
      </c>
      <c r="C9" s="5" t="s">
        <v>68</v>
      </c>
      <c r="D9" s="5" t="s">
        <v>845</v>
      </c>
      <c r="E9" s="5" t="s">
        <v>846</v>
      </c>
      <c r="F9" s="6" t="s">
        <v>651</v>
      </c>
      <c r="G9" s="7"/>
      <c r="H9" s="8"/>
      <c r="I9" s="5"/>
      <c r="J9" s="14">
        <v>45714.0</v>
      </c>
      <c r="K9" s="14">
        <v>45714.0</v>
      </c>
      <c r="L9" s="6">
        <v>20000.0</v>
      </c>
      <c r="M9" s="6">
        <v>0.0</v>
      </c>
      <c r="N9" s="7"/>
      <c r="O9" s="7"/>
      <c r="P9" s="7"/>
    </row>
    <row r="10" ht="22.5" customHeight="1">
      <c r="A10" s="5" t="s">
        <v>769</v>
      </c>
      <c r="B10" s="5" t="s">
        <v>828</v>
      </c>
      <c r="C10" s="5" t="s">
        <v>847</v>
      </c>
      <c r="D10" s="5" t="s">
        <v>848</v>
      </c>
      <c r="E10" s="5" t="s">
        <v>849</v>
      </c>
      <c r="F10" s="6" t="s">
        <v>831</v>
      </c>
      <c r="G10" s="7"/>
      <c r="H10" s="8"/>
      <c r="I10" s="8"/>
      <c r="J10" s="9">
        <v>45715.0</v>
      </c>
      <c r="K10" s="9">
        <v>45715.0</v>
      </c>
      <c r="L10" s="6">
        <v>30000.0</v>
      </c>
      <c r="M10" s="6">
        <v>800.0</v>
      </c>
      <c r="N10" s="7"/>
      <c r="O10" s="7"/>
      <c r="P10" s="7"/>
    </row>
    <row r="11" ht="22.5" customHeight="1">
      <c r="A11" s="5" t="s">
        <v>850</v>
      </c>
      <c r="B11" s="5" t="s">
        <v>540</v>
      </c>
      <c r="C11" s="5" t="s">
        <v>106</v>
      </c>
      <c r="D11" s="5" t="s">
        <v>98</v>
      </c>
      <c r="E11" s="5" t="s">
        <v>851</v>
      </c>
      <c r="F11" s="6" t="s">
        <v>835</v>
      </c>
      <c r="G11" s="7"/>
      <c r="H11" s="8"/>
      <c r="I11" s="5"/>
      <c r="J11" s="9">
        <v>45715.0</v>
      </c>
      <c r="K11" s="9">
        <v>45715.0</v>
      </c>
      <c r="L11" s="15">
        <v>35000.0</v>
      </c>
      <c r="M11" s="6">
        <v>0.0</v>
      </c>
      <c r="N11" s="7"/>
      <c r="O11" s="7"/>
      <c r="P11" s="7"/>
    </row>
    <row r="12" ht="22.5" customHeight="1">
      <c r="A12" s="5" t="s">
        <v>738</v>
      </c>
      <c r="B12" s="5" t="s">
        <v>761</v>
      </c>
      <c r="C12" s="5" t="s">
        <v>106</v>
      </c>
      <c r="D12" s="5" t="s">
        <v>852</v>
      </c>
      <c r="E12" s="5" t="s">
        <v>853</v>
      </c>
      <c r="F12" s="6" t="s">
        <v>854</v>
      </c>
      <c r="G12" s="7"/>
      <c r="H12" s="8"/>
      <c r="I12" s="5"/>
      <c r="J12" s="9">
        <v>45716.0</v>
      </c>
      <c r="K12" s="9">
        <v>45716.0</v>
      </c>
      <c r="L12" s="6">
        <v>25000.0</v>
      </c>
      <c r="M12" s="6">
        <v>0.0</v>
      </c>
      <c r="N12" s="7"/>
      <c r="O12" s="7"/>
      <c r="P12" s="7"/>
    </row>
    <row r="13" ht="22.5" customHeight="1">
      <c r="A13" s="5"/>
      <c r="B13" s="5"/>
      <c r="C13" s="5"/>
      <c r="D13" s="5"/>
      <c r="E13" s="5"/>
      <c r="F13" s="7"/>
      <c r="G13" s="7"/>
      <c r="H13" s="8"/>
      <c r="I13" s="8"/>
      <c r="J13" s="7"/>
      <c r="K13" s="7"/>
      <c r="L13" s="7"/>
      <c r="M13" s="7"/>
      <c r="N13" s="7"/>
      <c r="O13" s="7"/>
      <c r="P13" s="7"/>
    </row>
    <row r="14" ht="22.5" customHeight="1">
      <c r="A14" s="5"/>
      <c r="B14" s="5"/>
      <c r="C14" s="5"/>
      <c r="D14" s="5"/>
      <c r="E14" s="5"/>
      <c r="F14" s="6"/>
      <c r="G14" s="7"/>
      <c r="H14" s="8"/>
      <c r="I14" s="8"/>
      <c r="J14" s="16"/>
      <c r="K14" s="16"/>
      <c r="L14" s="6"/>
      <c r="M14" s="6"/>
      <c r="N14" s="7"/>
      <c r="O14" s="7"/>
      <c r="P14" s="7"/>
    </row>
    <row r="15" ht="22.5" customHeight="1">
      <c r="A15" s="8"/>
      <c r="B15" s="8"/>
      <c r="C15" s="8"/>
      <c r="D15" s="8"/>
      <c r="E15" s="8"/>
      <c r="F15" s="7"/>
      <c r="G15" s="7"/>
      <c r="H15" s="8"/>
      <c r="I15" s="8"/>
      <c r="J15" s="7"/>
      <c r="K15" s="7"/>
      <c r="L15" s="7"/>
      <c r="M15" s="7"/>
      <c r="N15" s="7"/>
      <c r="O15" s="7"/>
      <c r="P15" s="7"/>
    </row>
    <row r="16" ht="22.5" customHeight="1">
      <c r="A16" s="8"/>
      <c r="B16" s="8"/>
      <c r="C16" s="8"/>
      <c r="D16" s="8"/>
      <c r="E16" s="8"/>
      <c r="F16" s="7"/>
      <c r="G16" s="7"/>
      <c r="H16" s="8"/>
      <c r="I16" s="8"/>
      <c r="J16" s="7"/>
      <c r="K16" s="7"/>
      <c r="L16" s="7"/>
      <c r="M16" s="7"/>
      <c r="N16" s="7"/>
      <c r="O16" s="7"/>
      <c r="P16" s="7"/>
    </row>
    <row r="17" ht="22.5" customHeight="1">
      <c r="A17" s="8"/>
      <c r="B17" s="8"/>
      <c r="C17" s="8"/>
      <c r="D17" s="8"/>
      <c r="E17" s="8"/>
      <c r="F17" s="7"/>
      <c r="G17" s="7"/>
      <c r="H17" s="8"/>
      <c r="I17" s="8"/>
      <c r="J17" s="7"/>
      <c r="K17" s="7"/>
      <c r="L17" s="7"/>
      <c r="M17" s="7"/>
      <c r="N17" s="7"/>
      <c r="O17" s="7"/>
      <c r="P17" s="7"/>
    </row>
  </sheetData>
  <dataValidations>
    <dataValidation allowBlank="1" showDropDown="1" sqref="A2:C17 H2:I17"/>
  </dataValidations>
  <drawing r:id="rId1"/>
  <tableParts count="1">
    <tablePart r:id="rId3"/>
  </tableParts>
</worksheet>
</file>